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19440" windowHeight="15000" firstSheet="1" activeTab="11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<sst xmlns="http://schemas.openxmlformats.org/spreadsheetml/2006/main" count="10100" uniqueCount="1492">
  <si>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</si>
  <si>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</si>
  <si>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</si>
  <si>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</si>
  <si>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</si>
  <si>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</si>
  <si>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</si>
  <si>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</si>
  <si>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</si>
  <si>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</si>
  <si>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</si>
  <si>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</si>
  <si>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</si>
  <si>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</si>
  <si>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</si>
  <si>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</si>
  <si>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</si>
  <si>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</si>
  <si>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</si>
  <si>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</si>
  <si>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</si>
  <si>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</si>
  <si>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</si>
  <si>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</si>
  <si>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</si>
  <si>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</si>
  <si>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</si>
  <si>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</si>
  <si>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</si>
  <si>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</si>
  <si>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</si>
  <si>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</si>
  <si>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</si>
  <si>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</si>
  <si>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</si>
  <si>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</si>
  <si>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</si>
  <si>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</si>
  <si>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</si>
  <si>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</si>
  <si>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</si>
  <si>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</si>
  <si>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</si>
  <si>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</si>
  <si>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</si>
  <si>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</si>
  <si>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</si>
  <si>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</si>
  <si>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</si>
  <si>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</si>
  <si>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</si>
  <si>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</si>
  <si>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</si>
  <si>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</si>
  <si>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</si>
  <si>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</si>
  <si>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</si>
  <si>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</si>
  <si>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</si>
  <si>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</si>
  <si>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</si>
  <si>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</si>
  <si>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</si>
  <si>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</si>
  <si>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</si>
  <si>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</si>
  <si>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</si>
  <si>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</si>
  <si>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</si>
  <si>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</si>
  <si>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</si>
  <si>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</si>
  <si>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</si>
  <si>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</si>
  <si>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</si>
  <si>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</si>
  <si>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</si>
  <si>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</si>
  <si>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</si>
  <si>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</si>
  <si>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ABS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</si>
  <si>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</si>
  <si>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</si>
  <si>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</si>
  <si>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</si>
  <si>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</si>
  <si>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</si>
  <si>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</si>
  <si>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</si>
  <si>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</si>
  <si>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</si>
  <si>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</si>
  <si>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</si>
  <si>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</si>
  <si>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</si>
  <si>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</si>
  <si>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</si>
  <si>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</si>
  <si>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</si>
  <si>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</si>
  <si>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</si>
  <si>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</si>
  <si>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</si>
  <si>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</si>
  <si>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</si>
  <si>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</si>
  <si>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</si>
  <si>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</si>
  <si>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</si>
  <si>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</si>
  <si>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</si>
  <si>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</si>
  <si>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</si>
  <si>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</si>
  <si>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</si>
  <si>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</si>
  <si>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</si>
  <si>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</si>
  <si>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</si>
  <si>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</si>
  <si>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</si>
  <si>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</si>
  <si>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</si>
  <si>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</si>
  <si>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</si>
  <si>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</si>
  <si>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</si>
  <si>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</si>
  <si>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</si>
  <si>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</si>
  <si>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</si>
  <si>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</si>
  <si>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</si>
  <si>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</si>
  <si>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</si>
  <si>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</si>
  <si>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</si>
  <si>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</si>
  <si>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</si>
  <si>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</si>
  <si>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</si>
  <si>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</si>
  <si>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</si>
  <si>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</si>
  <si>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</si>
  <si>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</si>
  <si>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</si>
  <si>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</si>
  <si>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</si>
  <si>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</si>
  <si>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</si>
  <si>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</si>
  <si>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</si>
  <si>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</si>
  <si>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</si>
  <si>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</si>
  <si>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</si>
  <si>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</si>
  <si>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</si>
  <si>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</si>
  <si>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</si>
  <si>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</si>
  <si>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</si>
  <si>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</si>
  <si>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</si>
  <si>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</si>
  <si>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</si>
  <si>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</si>
  <si>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</si>
  <si>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</si>
  <si>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</si>
  <si>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</si>
  <si>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</si>
  <si>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</si>
  <si>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</si>
  <si>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</si>
  <si>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</si>
  <si>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</si>
  <si>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</si>
  <si>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</si>
  <si>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</si>
  <si>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</si>
  <si>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</si>
  <si>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</si>
  <si>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</si>
  <si>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</si>
  <si>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</si>
  <si>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</si>
  <si>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</si>
  <si>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</si>
  <si>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</si>
  <si>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</si>
  <si>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</si>
  <si>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</si>
  <si>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</si>
  <si>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</si>
  <si>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</si>
  <si>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</si>
  <si>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</si>
  <si>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</si>
  <si>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</si>
  <si>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</si>
  <si>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</si>
  <si>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</si>
  <si>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</si>
  <si>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</si>
  <si>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</si>
  <si>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</si>
  <si>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</si>
  <si>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</si>
  <si>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</si>
  <si>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</si>
  <si>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</si>
  <si>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</si>
  <si>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</si>
  <si>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</si>
  <si>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</si>
  <si>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</si>
  <si>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</si>
  <si>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</si>
  <si>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</si>
  <si>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</si>
  <si>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</si>
  <si>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</si>
  <si>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</si>
  <si>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</si>
  <si>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</si>
  <si>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</si>
  <si>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</si>
  <si>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</si>
  <si>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</si>
  <si>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</si>
  <si>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</si>
  <si>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</si>
  <si>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</si>
  <si>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</si>
  <si>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 xml:space="preserve"> RM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</si>
  <si>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</si>
  <si>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</si>
  <si>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</si>
  <si>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</si>
  <si>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</si>
  <si>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</si>
  <si>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</si>
  <si>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</si>
  <si>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</si>
  <si>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</si>
  <si>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</si>
  <si>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</si>
  <si>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</si>
  <si>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</si>
  <si>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</si>
  <si>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</si>
  <si>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</si>
  <si>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</si>
  <si>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</si>
  <si>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</si>
  <si>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</si>
  <si>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</si>
  <si>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</si>
  <si>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</si>
  <si>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</si>
  <si>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</si>
  <si>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</si>
  <si>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</si>
  <si>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</si>
  <si>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</si>
  <si>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</si>
  <si>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</si>
  <si>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</si>
  <si>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</si>
  <si>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</si>
  <si>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</si>
  <si>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</si>
  <si>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</si>
  <si>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</si>
  <si>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</si>
  <si>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CONGÉ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</si>
  <si>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</si>
  <si>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</si>
  <si>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</si>
  <si>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</si>
  <si>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</si>
  <si>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</si>
  <si>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</si>
  <si>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</si>
  <si>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</si>
  <si>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</si>
  <si>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</si>
  <si>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</si>
  <si>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</si>
  <si>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</si>
  <si>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</si>
  <si>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</si>
  <si>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</si>
  <si>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</si>
  <si>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</si>
  <si>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</si>
  <si>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</si>
  <si>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</si>
  <si>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</si>
  <si>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</si>
  <si>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</si>
  <si>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</si>
  <si>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</si>
  <si>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</si>
  <si>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</si>
  <si>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</si>
  <si>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</si>
  <si>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</si>
  <si>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</si>
  <si>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</si>
  <si>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</si>
  <si>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</si>
  <si>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</si>
  <si>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</si>
  <si>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</si>
  <si>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</si>
  <si>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</si>
  <si>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</si>
  <si>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</si>
  <si>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</si>
  <si>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</si>
  <si>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</si>
  <si>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</si>
  <si>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</si>
  <si>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</si>
  <si>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</si>
  <si>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</si>
  <si>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</si>
  <si>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</si>
  <si>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</si>
  <si>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</si>
  <si>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</si>
  <si>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</si>
  <si>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</si>
  <si>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</si>
  <si>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</si>
  <si>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</si>
  <si>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</si>
  <si>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</si>
  <si>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</si>
  <si>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</si>
  <si>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</si>
  <si>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</si>
  <si>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</si>
  <si>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</si>
  <si>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</si>
  <si>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</si>
  <si>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</si>
  <si>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</si>
  <si>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</si>
  <si>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</si>
  <si>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</si>
  <si>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</si>
  <si>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</si>
  <si>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</si>
  <si>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</si>
  <si>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</si>
  <si>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</si>
  <si>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</si>
  <si>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</si>
  <si>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</si>
  <si>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</si>
  <si>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</si>
  <si>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</si>
  <si>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</si>
  <si>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</si>
  <si>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</si>
  <si>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</si>
  <si>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</si>
  <si>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</si>
  <si>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</si>
  <si>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</si>
  <si>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</si>
  <si>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</si>
  <si>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</si>
  <si>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</si>
  <si>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</si>
  <si>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</si>
  <si>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</si>
  <si>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</si>
  <si>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</si>
  <si>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</si>
  <si>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</si>
  <si>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</si>
  <si>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</si>
  <si>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</si>
  <si>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</si>
  <si>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</si>
  <si>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</si>
  <si>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</si>
  <si>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</si>
  <si>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</si>
  <si>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</si>
  <si>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</si>
  <si>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</si>
  <si>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</si>
  <si>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</si>
  <si>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</si>
  <si>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</si>
  <si>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</si>
  <si>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</si>
  <si>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</si>
  <si>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</si>
  <si>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</si>
  <si>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</si>
  <si>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</si>
  <si>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</si>
  <si>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</si>
  <si>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</si>
  <si>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</si>
  <si>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</si>
  <si>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</si>
  <si>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</si>
  <si>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</si>
  <si>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</si>
  <si>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</si>
  <si>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</si>
  <si>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</si>
  <si>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</si>
  <si>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</si>
  <si>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</si>
  <si>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</si>
  <si>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</si>
  <si>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</si>
  <si>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</si>
  <si>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</si>
  <si>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</si>
  <si>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</si>
  <si>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</si>
  <si>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</si>
  <si>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</si>
  <si>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</si>
  <si>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</si>
  <si>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</si>
  <si>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</si>
  <si>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</si>
  <si>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</si>
  <si>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</si>
  <si>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</si>
  <si>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</si>
  <si>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</si>
  <si>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</si>
  <si>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</si>
  <si>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</si>
  <si>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</si>
  <si>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</si>
  <si>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</si>
  <si>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</si>
  <si>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</si>
  <si>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</si>
  <si>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</si>
  <si>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</si>
  <si>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</si>
  <si>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</si>
  <si>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</si>
  <si>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</si>
  <si>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</si>
  <si>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</si>
  <si>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</si>
  <si>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</si>
  <si>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</si>
  <si>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</si>
  <si>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</si>
  <si>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</si>
  <si>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</si>
  <si>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</si>
  <si>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</si>
  <si>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</si>
  <si>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</si>
  <si>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</si>
  <si>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</si>
  <si>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</si>
  <si>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</si>
  <si>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</si>
  <si>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</si>
  <si>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</si>
  <si>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</si>
  <si>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</si>
  <si>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</si>
  <si>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</si>
  <si>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</si>
  <si>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</si>
  <si>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</si>
  <si>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</si>
  <si>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</si>
  <si>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</si>
  <si>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</si>
  <si>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</si>
  <si>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</si>
  <si>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</si>
  <si>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</si>
  <si>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</si>
  <si>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</si>
  <si>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</si>
  <si>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</si>
  <si>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</si>
  <si>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</si>
  <si>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</si>
  <si>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</si>
  <si>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</si>
  <si>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</si>
  <si>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</si>
  <si>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</si>
  <si>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</si>
  <si>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</si>
  <si>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</si>
  <si>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</si>
  <si>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</si>
  <si>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</si>
  <si>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</si>
  <si>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</si>
  <si>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</si>
  <si>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</si>
  <si>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</si>
  <si>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</si>
  <si>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</si>
  <si>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</si>
  <si>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</si>
  <si>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</si>
  <si>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</si>
  <si>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</si>
  <si>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</si>
  <si>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</si>
  <si>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</si>
  <si>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</si>
  <si>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</si>
  <si>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</si>
  <si>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</si>
  <si>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</si>
  <si>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</si>
  <si>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</si>
  <si>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</si>
  <si>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</si>
  <si>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</si>
  <si>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</si>
  <si>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</si>
  <si>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</si>
  <si>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</si>
  <si>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</si>
  <si>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</si>
  <si>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</si>
  <si>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</si>
  <si>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</si>
  <si>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</si>
  <si>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</si>
  <si>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</si>
  <si>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</si>
  <si>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</si>
  <si>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</si>
  <si>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</si>
  <si>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</si>
  <si>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</si>
  <si>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</si>
  <si>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</si>
  <si>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</si>
  <si>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</si>
  <si>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</si>
  <si>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</si>
  <si>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</si>
  <si>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</si>
  <si>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</si>
  <si>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</si>
  <si>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</si>
  <si>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</si>
  <si>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</si>
  <si>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</si>
  <si>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</si>
  <si>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</si>
  <si>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</si>
  <si>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</si>
  <si>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</si>
  <si>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</si>
  <si>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</si>
  <si>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</si>
  <si>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</si>
  <si>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</si>
  <si>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</si>
  <si>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</si>
  <si>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</si>
  <si>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</si>
  <si>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</si>
  <si>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</si>
  <si>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</si>
  <si>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</si>
  <si>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</si>
  <si>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</si>
  <si>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</si>
  <si>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</si>
  <si>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</si>
  <si>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</si>
  <si>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</si>
  <si>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</si>
  <si>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</si>
  <si>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</si>
  <si>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</si>
  <si>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</si>
  <si>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</si>
  <si>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</si>
  <si>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</si>
  <si>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</si>
  <si>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</si>
  <si>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</si>
  <si>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</si>
  <si>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</si>
  <si>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</si>
  <si>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</si>
  <si>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</si>
  <si>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</si>
  <si>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</si>
  <si>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</si>
  <si>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</si>
  <si>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</si>
  <si>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</si>
  <si>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</si>
  <si>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</si>
  <si>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</si>
  <si>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</si>
  <si>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</si>
  <si>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</si>
  <si>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</si>
  <si>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</si>
  <si>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</si>
  <si>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</si>
  <si>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</si>
  <si>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</si>
  <si>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</si>
  <si>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</si>
  <si>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</si>
  <si>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</si>
  <si>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</si>
  <si>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</si>
  <si>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</si>
  <si>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</si>
  <si>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</si>
  <si>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</si>
  <si>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</si>
  <si>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</si>
  <si>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</si>
  <si>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</si>
  <si>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</si>
  <si>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</si>
  <si>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</si>
  <si>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</si>
  <si>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</si>
  <si>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</si>
  <si>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</si>
  <si>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</si>
  <si>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</si>
  <si>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</si>
  <si>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</si>
  <si>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</si>
  <si>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</si>
  <si>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</si>
  <si>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</si>
  <si>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</si>
  <si>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</si>
  <si>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</si>
  <si>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</si>
  <si>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</si>
  <si>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</si>
  <si>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</si>
  <si>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</si>
  <si>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</si>
  <si>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</si>
  <si>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</si>
  <si>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</si>
  <si>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</si>
  <si>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</si>
  <si>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</si>
  <si>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</si>
  <si>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</si>
  <si>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</si>
  <si>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</si>
  <si>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</si>
  <si>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</si>
  <si>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</si>
  <si>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</si>
  <si>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</si>
  <si>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</si>
  <si>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</si>
  <si>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</si>
  <si>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</si>
  <si>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</si>
  <si>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</si>
  <si>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</si>
  <si>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</si>
  <si>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</si>
  <si>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</si>
  <si>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</si>
  <si>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</si>
  <si>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</si>
  <si>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</si>
  <si>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</si>
  <si>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</si>
  <si>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</si>
  <si>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</si>
  <si>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</si>
  <si>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</si>
  <si>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</si>
  <si>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</si>
  <si>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</si>
  <si>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</si>
  <si>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</si>
  <si>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</si>
  <si>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</si>
  <si>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</si>
  <si>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</si>
  <si>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</si>
  <si>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</si>
  <si>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</si>
  <si>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</si>
  <si>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</si>
  <si>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</si>
  <si>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</si>
  <si>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</si>
  <si>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</si>
  <si>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</si>
  <si>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</si>
  <si>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</si>
  <si>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</si>
  <si>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</si>
  <si>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</si>
  <si>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</si>
  <si>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</si>
  <si>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</si>
  <si>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</si>
  <si>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</si>
  <si>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</si>
  <si>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</si>
  <si>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</si>
  <si>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</si>
  <si>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</si>
  <si>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</si>
  <si>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</si>
  <si>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</si>
  <si>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</si>
  <si>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</si>
  <si>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</si>
  <si>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</si>
  <si>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</si>
  <si>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</si>
  <si>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</si>
  <si>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</si>
  <si>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</si>
  <si>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</si>
  <si>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</si>
  <si>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</si>
  <si>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</si>
  <si>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</si>
  <si>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</si>
  <si>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</si>
  <si>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</si>
  <si>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</si>
  <si>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</si>
  <si>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</si>
  <si>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</si>
  <si>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</si>
  <si>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</si>
  <si>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</si>
  <si>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</si>
  <si>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</si>
  <si>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</si>
  <si>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</si>
  <si>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</si>
  <si>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</si>
  <si>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</si>
  <si>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</si>
  <si>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</si>
  <si>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</si>
  <si>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</si>
  <si>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</si>
  <si>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</si>
  <si>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</si>
  <si>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</si>
  <si>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</si>
  <si>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</si>
  <si>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</si>
  <si>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</si>
  <si>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</si>
  <si>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</si>
  <si>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</si>
  <si>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</si>
  <si>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</si>
  <si>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</si>
  <si>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</si>
  <si>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</si>
  <si>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</si>
  <si>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</si>
  <si>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</si>
  <si>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</si>
  <si>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</si>
  <si>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</si>
  <si>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</si>
  <si>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</si>
  <si>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</si>
  <si>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</si>
  <si>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</si>
  <si>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</si>
  <si>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</si>
  <si>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</si>
  <si>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</si>
  <si>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</si>
  <si>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</si>
  <si>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</si>
  <si>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</si>
  <si>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</si>
  <si>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</si>
  <si>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</si>
  <si>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</si>
  <si>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</si>
  <si>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</si>
  <si>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</si>
  <si>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</si>
  <si>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</si>
  <si>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</si>
  <si>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</si>
  <si>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</si>
  <si>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</si>
  <si>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</si>
  <si>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</si>
  <si>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</si>
  <si>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</si>
  <si>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</si>
  <si>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</si>
  <si>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</si>
  <si>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</si>
  <si>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</si>
  <si>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</si>
  <si>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</si>
  <si>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</si>
  <si>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</si>
  <si>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</si>
  <si>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</si>
  <si>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</si>
  <si>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</si>
  <si>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</si>
  <si>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</si>
  <si>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</si>
  <si>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</si>
  <si>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</si>
  <si>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</si>
  <si>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</si>
  <si>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</si>
  <si>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</si>
  <si>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</si>
  <si>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</si>
  <si>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</si>
  <si>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</si>
  <si>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</si>
  <si>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</si>
  <si>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</si>
  <si>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</si>
  <si>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</si>
  <si>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</si>
  <si>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</si>
  <si>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</si>
  <si>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</si>
  <si>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</si>
  <si>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</si>
  <si>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</si>
  <si>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</si>
  <si>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</si>
  <si>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</si>
  <si>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</si>
  <si>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</si>
  <si>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</si>
  <si>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</si>
  <si>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</si>
  <si>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</si>
  <si>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</si>
  <si>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</si>
  <si>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</si>
  <si>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</si>
  <si>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</si>
  <si>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</si>
  <si>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</si>
  <si>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</si>
  <si>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</si>
  <si>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</si>
  <si>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</si>
  <si>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</si>
  <si>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</si>
  <si>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</si>
  <si>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</si>
  <si>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</si>
  <si>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</si>
  <si>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</si>
  <si>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</si>
  <si>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</si>
  <si>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</si>
  <si>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</si>
  <si>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</si>
  <si>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</si>
  <si>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</si>
  <si>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</si>
  <si>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</si>
  <si>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</si>
  <si>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</si>
  <si>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</si>
  <si>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</si>
  <si>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</si>
  <si>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</si>
  <si>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</si>
  <si>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</si>
  <si>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</si>
  <si>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</si>
  <si>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</si>
  <si>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</si>
  <si>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</si>
  <si>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</si>
  <si>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</si>
  <si>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</si>
  <si>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</si>
  <si>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</si>
  <si>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</si>
  <si>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</si>
  <si>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</si>
  <si>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</si>
  <si>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</si>
  <si>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</si>
  <si>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</si>
  <si>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</si>
  <si>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</si>
  <si>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</si>
  <si>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</si>
  <si>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</si>
  <si>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</si>
  <si>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</si>
  <si>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</si>
  <si>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</si>
  <si>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</si>
  <si>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</si>
  <si>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</si>
  <si>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</si>
  <si>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</si>
  <si>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</si>
  <si>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</si>
  <si>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</si>
  <si>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</si>
  <si>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</si>
  <si>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</si>
  <si>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</si>
  <si>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</si>
  <si>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</si>
  <si>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</si>
  <si>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</si>
  <si>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</si>
  <si>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</si>
  <si>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</si>
  <si>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</si>
  <si>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</si>
  <si>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</si>
  <si>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</si>
  <si>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</si>
  <si>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</si>
  <si>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</si>
  <si>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</si>
  <si>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</si>
  <si>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</si>
  <si>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</si>
  <si>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</si>
  <si>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</si>
  <si>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</si>
  <si>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</si>
  <si>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</si>
  <si>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</si>
  <si>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</si>
  <si>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</si>
  <si>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</si>
  <si>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</si>
  <si>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</si>
  <si>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</si>
  <si>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</si>
  <si>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</si>
  <si>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</si>
  <si>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</si>
  <si>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</si>
  <si>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</si>
  <si>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</si>
  <si>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</si>
  <si>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</si>
  <si>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</si>
  <si>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</si>
  <si>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</si>
  <si>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</si>
  <si>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</si>
  <si>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</si>
  <si>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</si>
  <si>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</si>
  <si>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</si>
  <si>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</si>
  <si>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</si>
  <si>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</si>
  <si>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</si>
  <si>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</si>
  <si>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</si>
  <si>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</si>
  <si>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</si>
  <si>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</si>
  <si>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</si>
  <si>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</si>
  <si>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</si>
  <si>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</si>
  <si>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</si>
  <si>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</si>
  <si>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</si>
  <si>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</si>
  <si>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</si>
  <si>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</si>
  <si>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</si>
  <si>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</si>
  <si>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</si>
  <si>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</si>
  <si>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</si>
  <si>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</si>
  <si>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</si>
  <si>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</si>
  <si>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</si>
  <si>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</si>
  <si>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</si>
  <si>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</si>
  <si>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</si>
  <si>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</si>
  <si>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</si>
  <si>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</si>
  <si>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</si>
  <si>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</si>
  <si>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</si>
  <si>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</si>
  <si>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</si>
  <si>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</si>
  <si>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</si>
  <si>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</si>
  <si>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</si>
  <si>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</si>
  <si>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</si>
  <si>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</si>
  <si>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</si>
  <si>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</si>
  <si>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</si>
  <si>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</si>
  <si>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</si>
  <si>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</si>
  <si>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</si>
  <si>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</si>
  <si>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</si>
  <si>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</si>
  <si>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</si>
  <si>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</si>
  <si>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</si>
  <si>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</si>
  <si>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</si>
  <si>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</si>
  <si>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</si>
  <si>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</si>
  <si>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</si>
  <si>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</si>
  <si>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</si>
  <si>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</si>
  <si>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</si>
  <si>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</si>
  <si>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</si>
  <si>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</si>
  <si>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</si>
  <si>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</si>
  <si>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</si>
  <si>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</si>
  <si>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</si>
  <si>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</si>
  <si>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</si>
  <si>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</si>
  <si>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</si>
  <si>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</si>
  <si>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</si>
  <si>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</si>
  <si>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</si>
  <si>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</si>
  <si>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</si>
  <si>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</si>
  <si>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</si>
  <si>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</si>
  <si>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</si>
  <si>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</si>
  <si>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</si>
  <si>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</si>
  <si>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</si>
  <si>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</si>
  <si>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</si>
  <si>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</si>
  <si>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</si>
  <si>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</si>
  <si>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</si>
  <si>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</si>
  <si>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</si>
  <si>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</si>
  <si>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</si>
  <si>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</si>
  <si>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</si>
  <si>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</si>
  <si>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</si>
  <si>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</si>
  <si>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</si>
  <si>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</si>
  <si>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</si>
  <si>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</si>
  <si>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</si>
  <si>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</si>
  <si>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</si>
  <si>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</si>
  <si>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</si>
  <si>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</si>
  <si>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</si>
  <si>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</si>
  <si>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</si>
  <si>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</si>
  <si>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</si>
  <si>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</si>
  <si>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</si>
  <si>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</si>
  <si>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</si>
  <si>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</si>
  <si>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</si>
  <si>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</si>
  <si>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</si>
  <si>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</si>
  <si>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</si>
  <si>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</si>
  <si>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</si>
  <si>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</si>
  <si>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</si>
  <si>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</si>
  <si>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</si>
  <si>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</si>
  <si>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</si>
  <si>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</si>
  <si>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</si>
  <si>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</si>
  <si>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</si>
  <si>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</si>
  <si>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</si>
  <si>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</si>
  <si>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</si>
  <si>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</si>
  <si>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</si>
  <si>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</si>
  <si>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</si>
  <si>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</si>
  <si>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</si>
  <si>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</si>
  <si>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</si>
  <si>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</si>
  <si>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</si>
  <si>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</si>
  <si>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</si>
  <si>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</si>
  <si>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</si>
  <si>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</si>
  <si>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</si>
  <si>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</si>
  <si>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</si>
  <si>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</si>
  <si>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</si>
  <si>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</si>
  <si>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</si>
  <si>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</si>
  <si>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</si>
  <si>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</si>
  <si>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</si>
  <si>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</si>
  <si>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</si>
  <si>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</si>
  <si>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</si>
  <si>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</si>
  <si>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</si>
  <si>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</si>
  <si>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</si>
  <si>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</si>
  <si>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</si>
  <si>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</si>
  <si>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</si>
  <si>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</si>
  <si>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</si>
  <si>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</si>
  <si>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</si>
  <si>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</si>
  <si>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</si>
  <si>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</si>
  <si>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</si>
  <si>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</si>
  <si>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</si>
  <si>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</si>
  <si>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</si>
  <si>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</si>
  <si>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</si>
  <si>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</si>
  <si>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</si>
  <si>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</si>
  <si>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</si>
  <si>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</si>
  <si>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</si>
  <si>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</si>
  <si>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</si>
  <si>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</si>
  <si>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</si>
  <si>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</si>
  <si>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</si>
  <si>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</si>
  <si>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</si>
  <si>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</si>
  <si>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</si>
  <si>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</si>
  <si>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</si>
  <si>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</si>
  <si>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</si>
  <si>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</si>
  <si>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</si>
  <si>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</si>
  <si>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</si>
  <si>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</si>
  <si>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</si>
  <si>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</si>
  <si>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</si>
  <si>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</si>
  <si>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</si>
  <si>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</si>
  <si>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</si>
  <si>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</si>
  <si>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</si>
  <si>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</si>
  <si>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</si>
  <si>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</si>
  <si>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</si>
  <si>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</si>
  <si>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</si>
  <si>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</si>
  <si>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</si>
  <si>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</si>
  <si>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</si>
  <si>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</si>
  <si>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</si>
  <si>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</si>
  <si>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</si>
  <si>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</si>
  <si>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</si>
  <si>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</si>
  <si>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</si>
  <si>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</si>
  <si>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</si>
  <si>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</si>
  <si>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</si>
  <si>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</si>
  <si>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</si>
  <si>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</si>
  <si>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</si>
  <si>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</si>
  <si>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</si>
  <si>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</si>
  <si>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</si>
  <si>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</si>
  <si>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</si>
  <si>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</si>
  <si>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</si>
  <si>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</si>
  <si>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</si>
  <si>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</si>
  <si>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</si>
  <si>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</si>
  <si>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</si>
  <si>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</si>
  <si>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</si>
  <si>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</si>
  <si>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</si>
  <si>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</si>
  <si>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</si>
  <si>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</si>
  <si>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</si>
  <si>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</si>
  <si>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</si>
  <si>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</si>
  <si>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</si>
  <si>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</si>
  <si>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</si>
  <si>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</si>
  <si>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</si>
  <si>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</si>
  <si>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</si>
  <si>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</si>
  <si>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</si>
  <si>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</si>
  <si>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</si>
  <si>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</si>
  <si>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Solde au 31/08/2026</t>
  </si>
  <si>
    <t>RELIQUATS</t>
  </si>
  <si>
    <t>Solde au 31/09/2026</t>
  </si>
  <si>
    <t>Solde au 31/10/2026</t>
  </si>
  <si>
    <t>solde au 31/11/2026</t>
  </si>
  <si>
    <t>Solde au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</si>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</sst>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DADADA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76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left" vertical="center" wrapText="1"/>
    </xf>
    <xf numFmtId="174" fontId="24" fillId="35" borderId="11" xfId="0" applyNumberFormat="1" applyFont="1" applyFill="1" applyBorder="1" applyAlignment="1">
      <alignment horizontal="center" vertical="center" wrapText="1"/>
    </xf>
    <xf numFmtId="174" fontId="24" fillId="36" borderId="11" xfId="0" applyNumberFormat="1" applyFont="1" applyFill="1" applyBorder="1" applyAlignment="1">
      <alignment horizontal="center" vertical="center" wrapText="1"/>
    </xf>
    <xf numFmtId="174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/>
    <xf numFmtId="174" fontId="9" fillId="7" borderId="11" xfId="0" applyNumberFormat="1" applyFont="1" applyFill="1" applyBorder="1" applyAlignment="1">
      <alignment horizontal="center" vertical="center"/>
    </xf>
    <xf numFmtId="175" fontId="9" fillId="7" borderId="11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9" fillId="7" borderId="11" xfId="0" applyFont="1" applyFill="1" applyBorder="1"/>
    <xf numFmtId="175" fontId="9" fillId="7" borderId="11" xfId="0" applyNumberFormat="1" applyFont="1" applyFill="1" applyBorder="1"/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0" fontId="0" fillId="37" borderId="0" xfId="0" applyFill="1"/>
    <xf numFmtId="0" fontId="9" fillId="37" borderId="11" xfId="0" applyFont="1" applyFill="1" applyBorder="1" applyAlignment="1">
      <alignment vertical="center" wrapText="1"/>
    </xf>
    <xf numFmtId="0" fontId="24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164" fontId="9" fillId="37" borderId="11" xfId="0" applyNumberFormat="1" applyFont="1" applyFill="1" applyBorder="1" applyAlignment="1">
      <alignment horizontal="left" vertical="center" wrapText="1"/>
    </xf>
    <xf numFmtId="174" fontId="9" fillId="37" borderId="11" xfId="0" applyNumberFormat="1" applyFont="1" applyFill="1" applyBorder="1" applyAlignment="1">
      <alignment horizontal="center" vertical="center" wrapText="1"/>
    </xf>
    <xf numFmtId="169" fontId="1" fillId="37" borderId="11" xfId="0" applyNumberFormat="1" applyFont="1" applyFill="1" applyBorder="1" applyAlignment="1">
      <alignment horizontal="center" vertical="center" wrapText="1"/>
    </xf>
    <xf numFmtId="0" fontId="9" fillId="37" borderId="11" xfId="0" applyFont="1" applyFill="1" applyBorder="1"/>
    <xf numFmtId="174" fontId="9" fillId="37" borderId="11" xfId="0" applyNumberFormat="1" applyFont="1" applyFill="1" applyBorder="1"/>
    <xf numFmtId="175" fontId="9" fillId="37" borderId="11" xfId="0" applyNumberFormat="1" applyFont="1" applyFill="1" applyBorder="1"/>
    <xf numFmtId="175" fontId="9" fillId="37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horizontal="center"/>
    </xf>
    <xf numFmtId="174" fontId="9" fillId="37" borderId="11" xfId="0" applyNumberFormat="1" applyFont="1" applyFill="1" applyBorder="1" applyAlignment="1">
      <alignment horizontal="center"/>
    </xf>
    <xf numFmtId="2" fontId="9" fillId="37" borderId="11" xfId="0" applyNumberFormat="1" applyFont="1" applyFill="1" applyBorder="1" applyAlignment="1">
      <alignment horizontal="center"/>
    </xf>
    <xf numFmtId="175" fontId="23" fillId="37" borderId="11" xfId="0" applyNumberFormat="1" applyFont="1" applyFill="1" applyBorder="1" applyAlignment="1">
      <alignment horizontal="center"/>
    </xf>
    <xf numFmtId="0" fontId="9" fillId="38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vertical="center" wrapText="1"/>
    </xf>
    <xf numFmtId="0" fontId="9" fillId="40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1" borderId="0" xfId="0" applyFill="1"/>
    <xf numFmtId="0" fontId="9" fillId="41" borderId="11" xfId="0" applyFont="1" applyFill="1" applyBorder="1" applyAlignment="1">
      <alignment vertical="center" wrapText="1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left" vertical="center" wrapText="1"/>
    </xf>
    <xf numFmtId="164" fontId="9" fillId="41" borderId="11" xfId="0" applyNumberFormat="1" applyFont="1" applyFill="1" applyBorder="1" applyAlignment="1">
      <alignment horizontal="left" vertical="center" wrapText="1"/>
    </xf>
    <xf numFmtId="174" fontId="9" fillId="41" borderId="11" xfId="0" applyNumberFormat="1" applyFont="1" applyFill="1" applyBorder="1" applyAlignment="1">
      <alignment horizontal="center" vertical="center" wrapText="1"/>
    </xf>
    <xf numFmtId="169" fontId="1" fillId="41" borderId="11" xfId="0" applyNumberFormat="1" applyFont="1" applyFill="1" applyBorder="1" applyAlignment="1">
      <alignment horizontal="center" vertical="center" wrapText="1"/>
    </xf>
    <xf numFmtId="0" fontId="9" fillId="41" borderId="11" xfId="0" applyFont="1" applyFill="1" applyBorder="1"/>
    <xf numFmtId="175" fontId="9" fillId="41" borderId="11" xfId="0" applyNumberFormat="1" applyFont="1" applyFill="1" applyBorder="1"/>
    <xf numFmtId="175" fontId="9" fillId="41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center"/>
    </xf>
    <xf numFmtId="174" fontId="9" fillId="41" borderId="11" xfId="0" applyNumberFormat="1" applyFont="1" applyFill="1" applyBorder="1" applyAlignment="1">
      <alignment horizontal="center"/>
    </xf>
    <xf numFmtId="2" fontId="9" fillId="41" borderId="11" xfId="0" applyNumberFormat="1" applyFont="1" applyFill="1" applyBorder="1" applyAlignment="1">
      <alignment horizontal="center"/>
    </xf>
    <xf numFmtId="175" fontId="23" fillId="41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/>
    <xf numFmtId="0" fontId="9" fillId="37" borderId="11" xfId="0" applyFont="1" applyFill="1" applyBorder="1" applyAlignment="1">
      <alignment horizontal="left" vertical="center" wrapText="1"/>
    </xf>
    <xf numFmtId="0" fontId="8" fillId="42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164" fontId="20" fillId="0" borderId="11" xfId="0" applyNumberFormat="1" applyFont="1" applyBorder="1" applyAlignment="1">
      <alignment horizontal="left" vertical="center" wrapText="1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3" borderId="11" xfId="0" applyFont="1" applyFill="1" applyBorder="1" applyAlignment="1">
      <alignment vertical="center"/>
    </xf>
    <xf numFmtId="0" fontId="0" fillId="44" borderId="0" xfId="0" applyFill="1"/>
    <xf numFmtId="0" fontId="9" fillId="44" borderId="11" xfId="0" applyFont="1" applyFill="1" applyBorder="1" applyAlignment="1">
      <alignment horizontal="left" vertical="center" wrapText="1"/>
    </xf>
    <xf numFmtId="0" fontId="9" fillId="44" borderId="11" xfId="0" applyFont="1" applyFill="1" applyBorder="1" applyAlignment="1">
      <alignment horizontal="center"/>
    </xf>
    <xf numFmtId="0" fontId="1" fillId="44" borderId="11" xfId="0" applyFont="1" applyFill="1" applyBorder="1"/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5" borderId="0" xfId="0" applyFill="1"/>
    <xf numFmtId="0" fontId="9" fillId="45" borderId="11" xfId="0" applyFont="1" applyFill="1" applyBorder="1" applyAlignment="1">
      <alignment horizontal="left" vertical="center" wrapText="1"/>
    </xf>
    <xf numFmtId="0" fontId="9" fillId="45" borderId="11" xfId="0" applyFont="1" applyFill="1" applyBorder="1" applyAlignment="1">
      <alignment horizontal="center"/>
    </xf>
    <xf numFmtId="0" fontId="9" fillId="45" borderId="11" xfId="0" applyFont="1" applyFill="1" applyBorder="1"/>
    <xf numFmtId="164" fontId="9" fillId="45" borderId="11" xfId="0" applyNumberFormat="1" applyFont="1" applyFill="1" applyBorder="1" applyAlignment="1">
      <alignment horizontal="left" vertical="center" wrapText="1"/>
    </xf>
    <xf numFmtId="174" fontId="9" fillId="45" borderId="11" xfId="0" applyNumberFormat="1" applyFont="1" applyFill="1" applyBorder="1" applyAlignment="1">
      <alignment horizontal="center" vertical="center" wrapText="1"/>
    </xf>
    <xf numFmtId="169" fontId="1" fillId="45" borderId="11" xfId="0" applyNumberFormat="1" applyFont="1" applyFill="1" applyBorder="1" applyAlignment="1">
      <alignment horizontal="center" vertical="center" wrapText="1"/>
    </xf>
    <xf numFmtId="175" fontId="9" fillId="45" borderId="11" xfId="0" applyNumberFormat="1" applyFont="1" applyFill="1" applyBorder="1"/>
    <xf numFmtId="175" fontId="9" fillId="45" borderId="11" xfId="0" applyNumberFormat="1" applyFont="1" applyFill="1" applyBorder="1" applyAlignment="1">
      <alignment horizontal="center"/>
    </xf>
    <xf numFmtId="174" fontId="9" fillId="45" borderId="11" xfId="0" applyNumberFormat="1" applyFont="1" applyFill="1" applyBorder="1" applyAlignment="1">
      <alignment horizontal="center"/>
    </xf>
    <xf numFmtId="2" fontId="9" fillId="45" borderId="11" xfId="0" applyNumberFormat="1" applyFont="1" applyFill="1" applyBorder="1" applyAlignment="1">
      <alignment horizontal="center"/>
    </xf>
    <xf numFmtId="175" fontId="23" fillId="45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5" borderId="10" xfId="0" applyFont="1" applyFill="1" applyBorder="1" applyAlignment="1">
      <alignment horizontal="left" vertical="center" wrapText="1"/>
    </xf>
    <xf numFmtId="0" fontId="9" fillId="45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41" borderId="11" xfId="0" applyFont="1" applyFill="1" applyBorder="1" applyAlignment="1">
      <alignment horizontal="left" vertical="center"/>
    </xf>
    <xf numFmtId="0" fontId="9" fillId="41" borderId="11" xfId="0" applyFont="1" applyFill="1" applyBorder="1" applyAlignment="1">
      <alignment vertical="center"/>
    </xf>
    <xf numFmtId="0" fontId="9" fillId="41" borderId="11" xfId="0" applyFont="1" applyFill="1" applyBorder="1" applyAlignment="1">
      <alignment horizontal="left"/>
    </xf>
    <xf numFmtId="0" fontId="0" fillId="46" borderId="0" xfId="0" applyFill="1"/>
    <xf numFmtId="0" fontId="9" fillId="46" borderId="11" xfId="0" applyFont="1" applyFill="1" applyBorder="1" applyAlignment="1">
      <alignment horizontal="left" vertical="center"/>
    </xf>
    <xf numFmtId="0" fontId="9" fillId="46" borderId="11" xfId="0" applyFont="1" applyFill="1" applyBorder="1" applyAlignment="1">
      <alignment vertical="center"/>
    </xf>
    <xf numFmtId="0" fontId="9" fillId="46" borderId="11" xfId="0" applyFont="1" applyFill="1" applyBorder="1" applyAlignment="1">
      <alignment horizontal="left"/>
    </xf>
    <xf numFmtId="164" fontId="9" fillId="46" borderId="11" xfId="0" applyNumberFormat="1" applyFont="1" applyFill="1" applyBorder="1" applyAlignment="1">
      <alignment horizontal="left" vertical="center" wrapText="1"/>
    </xf>
    <xf numFmtId="174" fontId="9" fillId="46" borderId="11" xfId="0" applyNumberFormat="1" applyFont="1" applyFill="1" applyBorder="1" applyAlignment="1">
      <alignment horizontal="center" vertical="center" wrapText="1"/>
    </xf>
    <xf numFmtId="169" fontId="1" fillId="46" borderId="11" xfId="0" applyNumberFormat="1" applyFont="1" applyFill="1" applyBorder="1" applyAlignment="1">
      <alignment horizontal="center" vertical="center" wrapText="1"/>
    </xf>
    <xf numFmtId="0" fontId="9" fillId="46" borderId="11" xfId="0" applyFont="1" applyFill="1" applyBorder="1"/>
    <xf numFmtId="175" fontId="9" fillId="46" borderId="11" xfId="0" applyNumberFormat="1" applyFont="1" applyFill="1" applyBorder="1"/>
    <xf numFmtId="175" fontId="9" fillId="46" borderId="11" xfId="0" applyNumberFormat="1" applyFont="1" applyFill="1" applyBorder="1" applyAlignment="1">
      <alignment horizontal="center"/>
    </xf>
    <xf numFmtId="0" fontId="9" fillId="46" borderId="11" xfId="0" applyFont="1" applyFill="1" applyBorder="1" applyAlignment="1">
      <alignment horizontal="center"/>
    </xf>
    <xf numFmtId="2" fontId="9" fillId="46" borderId="11" xfId="0" applyNumberFormat="1" applyFont="1" applyFill="1" applyBorder="1" applyAlignment="1">
      <alignment horizontal="center"/>
    </xf>
    <xf numFmtId="174" fontId="9" fillId="46" borderId="11" xfId="0" applyNumberFormat="1" applyFont="1" applyFill="1" applyBorder="1" applyAlignment="1">
      <alignment horizontal="center"/>
    </xf>
    <xf numFmtId="175" fontId="23" fillId="46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7" borderId="11" xfId="0" applyFont="1" applyFill="1" applyBorder="1" applyAlignment="1">
      <alignment horizontal="left" vertical="center"/>
    </xf>
    <xf numFmtId="0" fontId="9" fillId="37" borderId="11" xfId="0" applyFont="1" applyFill="1" applyBorder="1" applyAlignment="1">
      <alignment vertical="center"/>
    </xf>
    <xf numFmtId="0" fontId="9" fillId="37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W72" activePane="bottomRight" state="frozen"/>
      <selection pane="bottomRight" activeCell="JN55" sqref="JN55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>
        <v>9</v>
      </c>
      <c r="JW5" s="34">
        <v>9</v>
      </c>
      <c r="JX5" s="34">
        <v>9</v>
      </c>
      <c r="JY5" s="34">
        <v>9</v>
      </c>
      <c r="JZ5" s="34">
        <v>5</v>
      </c>
      <c r="KA5" s="38"/>
      <c r="KB5" s="34"/>
      <c r="KC5" s="34"/>
      <c r="KD5" s="38"/>
      <c r="KE5" s="34">
        <v>9</v>
      </c>
      <c r="KF5" s="34">
        <v>9</v>
      </c>
      <c r="KG5" s="34"/>
      <c r="KH5" s="34"/>
      <c r="KI5" s="34"/>
      <c r="KJ5" s="34"/>
      <c r="KK5" s="38"/>
      <c r="KL5" s="34"/>
      <c r="KM5" s="34"/>
      <c r="KN5" s="38"/>
      <c r="KO5" s="34"/>
      <c r="KP5" s="34"/>
      <c r="KQ5" s="34"/>
      <c r="KR5" s="34"/>
      <c r="KS5" s="34"/>
      <c r="KT5" s="34"/>
      <c r="KU5" s="38"/>
      <c r="KV5" s="34"/>
      <c r="KW5" s="34"/>
      <c r="KX5" s="38"/>
      <c r="KY5" s="34"/>
      <c r="KZ5" s="34"/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>
        <v>9</v>
      </c>
      <c r="JW6" s="34">
        <v>9</v>
      </c>
      <c r="JX6" s="34">
        <v>9</v>
      </c>
      <c r="JY6" s="34">
        <v>9</v>
      </c>
      <c r="JZ6" s="34">
        <v>7</v>
      </c>
      <c r="KA6" s="46"/>
      <c r="KB6" s="34"/>
      <c r="KC6" s="34"/>
      <c r="KD6" s="46"/>
      <c r="KE6" s="49">
        <v>9</v>
      </c>
      <c r="KF6" s="34">
        <v>9</v>
      </c>
      <c r="KG6" s="34"/>
      <c r="KH6" s="34"/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>
        <v>9</v>
      </c>
      <c r="JW7" s="34">
        <v>9</v>
      </c>
      <c r="JX7" s="34">
        <v>9</v>
      </c>
      <c r="JY7" s="34">
        <v>9</v>
      </c>
      <c r="JZ7" s="34">
        <v>5</v>
      </c>
      <c r="KA7" s="46"/>
      <c r="KB7" s="34"/>
      <c r="KC7" s="34"/>
      <c r="KD7" s="46"/>
      <c r="KE7" s="49" t="s">
        <v>80</v>
      </c>
      <c r="KF7" s="34">
        <v>9</v>
      </c>
      <c r="KG7" s="34"/>
      <c r="KH7" s="34"/>
      <c r="KI7" s="34"/>
      <c r="KJ7" s="34"/>
      <c r="KK7" s="46"/>
      <c r="KL7" s="34"/>
      <c r="KM7" s="34"/>
      <c r="KN7" s="46"/>
      <c r="KO7" s="49"/>
      <c r="KP7" s="34"/>
      <c r="KQ7" s="34"/>
      <c r="KR7" s="34"/>
      <c r="KS7" s="34"/>
      <c r="KT7" s="34"/>
      <c r="KU7" s="46"/>
      <c r="KV7" s="34"/>
      <c r="KW7" s="34"/>
      <c r="KX7" s="46"/>
      <c r="KY7" s="49"/>
      <c r="KZ7" s="34"/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81</v>
      </c>
      <c r="B8" s="43" t="s">
        <v>82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83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>
        <v>9</v>
      </c>
      <c r="JW8" s="34">
        <v>9</v>
      </c>
      <c r="JX8" s="34">
        <v>9</v>
      </c>
      <c r="JY8" s="34">
        <v>9</v>
      </c>
      <c r="JZ8" s="34">
        <v>5</v>
      </c>
      <c r="KA8" s="46"/>
      <c r="KB8" s="34"/>
      <c r="KC8" s="34"/>
      <c r="KD8" s="46"/>
      <c r="KE8" s="49">
        <v>9</v>
      </c>
      <c r="KF8" s="34">
        <v>9</v>
      </c>
      <c r="KG8" s="34"/>
      <c r="KH8" s="34"/>
      <c r="KI8" s="34"/>
      <c r="KJ8" s="34"/>
      <c r="KK8" s="46"/>
      <c r="KL8" s="34"/>
      <c r="KM8" s="34"/>
      <c r="KN8" s="46"/>
      <c r="KO8" s="49"/>
      <c r="KP8" s="34"/>
      <c r="KQ8" s="34"/>
      <c r="KR8" s="34"/>
      <c r="KS8" s="34"/>
      <c r="KT8" s="34"/>
      <c r="KU8" s="46"/>
      <c r="KV8" s="34"/>
      <c r="KW8" s="34"/>
      <c r="KX8" s="46"/>
      <c r="KY8" s="49"/>
      <c r="KZ8" s="34"/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84</v>
      </c>
      <c r="B9" s="43" t="s">
        <v>85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86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87</v>
      </c>
      <c r="IK9" s="34" t="s">
        <v>87</v>
      </c>
      <c r="IL9" s="34" t="s">
        <v>87</v>
      </c>
      <c r="IM9" s="46"/>
      <c r="IN9" s="34"/>
      <c r="IO9" s="34"/>
      <c r="IP9" s="46"/>
      <c r="IQ9" s="49" t="s">
        <v>88</v>
      </c>
      <c r="IR9" s="34" t="s">
        <v>88</v>
      </c>
      <c r="IS9" s="34" t="s">
        <v>88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>
        <v>9</v>
      </c>
      <c r="JW9" s="34">
        <v>9</v>
      </c>
      <c r="JX9" s="34">
        <v>9</v>
      </c>
      <c r="JY9" s="34">
        <v>9</v>
      </c>
      <c r="JZ9" s="34">
        <v>5</v>
      </c>
      <c r="KA9" s="46"/>
      <c r="KB9" s="34"/>
      <c r="KC9" s="34"/>
      <c r="KD9" s="46"/>
      <c r="KE9" s="49">
        <v>9</v>
      </c>
      <c r="KF9" s="34">
        <v>9</v>
      </c>
      <c r="KG9" s="34"/>
      <c r="KH9" s="34"/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89</v>
      </c>
      <c r="B10" s="43" t="s">
        <v>90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91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92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92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93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>
        <v>9</v>
      </c>
      <c r="JW10" s="34">
        <v>9</v>
      </c>
      <c r="JX10" s="34">
        <v>9</v>
      </c>
      <c r="JY10" s="34">
        <v>9</v>
      </c>
      <c r="JZ10" s="34">
        <v>5</v>
      </c>
      <c r="KA10" s="46"/>
      <c r="KB10" s="34"/>
      <c r="KC10" s="34"/>
      <c r="KD10" s="46"/>
      <c r="KE10" s="49">
        <v>9</v>
      </c>
      <c r="KF10" s="34">
        <v>9</v>
      </c>
      <c r="KG10" s="34"/>
      <c r="KH10" s="34"/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94</v>
      </c>
      <c r="B11" s="43" t="s">
        <v>95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96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>
        <v>9</v>
      </c>
      <c r="JW11" s="34">
        <v>9</v>
      </c>
      <c r="JX11" s="34">
        <v>9</v>
      </c>
      <c r="JY11" s="34">
        <v>9</v>
      </c>
      <c r="JZ11" s="34" t="s">
        <v>80</v>
      </c>
      <c r="KA11" s="46"/>
      <c r="KB11" s="34"/>
      <c r="KC11" s="34"/>
      <c r="KD11" s="46"/>
      <c r="KE11" s="49">
        <v>9</v>
      </c>
      <c r="KF11" s="34">
        <v>9</v>
      </c>
      <c r="KG11" s="34"/>
      <c r="KH11" s="34"/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97</v>
      </c>
      <c r="B12" s="43" t="s">
        <v>98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99</v>
      </c>
      <c r="J12" s="42" t="s">
        <v>100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92</v>
      </c>
      <c r="FG12" s="34" t="s">
        <v>92</v>
      </c>
      <c r="FH12" s="34" t="s">
        <v>92</v>
      </c>
      <c r="FI12" s="34" t="s">
        <v>92</v>
      </c>
      <c r="FJ12" s="34" t="s">
        <v>92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>
        <v>9</v>
      </c>
      <c r="JW12" s="34">
        <v>9</v>
      </c>
      <c r="JX12" s="34">
        <v>9</v>
      </c>
      <c r="JY12" s="34" t="s">
        <v>88</v>
      </c>
      <c r="JZ12" s="34" t="s">
        <v>88</v>
      </c>
      <c r="KA12" s="46"/>
      <c r="KB12" s="34"/>
      <c r="KC12" s="34"/>
      <c r="KD12" s="46"/>
      <c r="KE12" s="49">
        <v>9</v>
      </c>
      <c r="KF12" s="34">
        <v>9</v>
      </c>
      <c r="KG12" s="34"/>
      <c r="KH12" s="34"/>
      <c r="KI12" s="34"/>
      <c r="KJ12" s="34"/>
      <c r="KK12" s="46"/>
      <c r="KL12" s="34"/>
      <c r="KM12" s="34"/>
      <c r="KN12" s="46"/>
      <c r="KO12" s="49"/>
      <c r="KP12" s="34"/>
      <c r="KQ12" s="34"/>
      <c r="KR12" s="34"/>
      <c r="KS12" s="34"/>
      <c r="KT12" s="34"/>
      <c r="KU12" s="46"/>
      <c r="KV12" s="34"/>
      <c r="KW12" s="34"/>
      <c r="KX12" s="46"/>
      <c r="KY12" s="49"/>
      <c r="KZ12" s="34"/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101</v>
      </c>
      <c r="B13" s="43" t="s">
        <v>102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103</v>
      </c>
      <c r="J13" s="42" t="s">
        <v>100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104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88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>
        <v>9</v>
      </c>
      <c r="JW13" s="34">
        <v>9</v>
      </c>
      <c r="JX13" s="34">
        <v>9</v>
      </c>
      <c r="JY13" s="34">
        <v>9</v>
      </c>
      <c r="JZ13" s="34">
        <v>5</v>
      </c>
      <c r="KA13" s="46"/>
      <c r="KB13" s="34"/>
      <c r="KC13" s="34"/>
      <c r="KD13" s="46"/>
      <c r="KE13" s="49">
        <v>9</v>
      </c>
      <c r="KF13" s="34">
        <v>9</v>
      </c>
      <c r="KG13" s="34"/>
      <c r="KH13" s="34"/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105</v>
      </c>
      <c r="B14" s="43" t="s">
        <v>106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107</v>
      </c>
      <c r="J14" s="42" t="s">
        <v>100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108</v>
      </c>
      <c r="B15" s="54" t="s">
        <v>109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110</v>
      </c>
      <c r="J15" s="53" t="s">
        <v>100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80</v>
      </c>
      <c r="IB15" s="58" t="s">
        <v>80</v>
      </c>
      <c r="IC15" s="61"/>
      <c r="ID15" s="58"/>
      <c r="IE15" s="58"/>
      <c r="IF15" s="61"/>
      <c r="IG15" s="62" t="s">
        <v>80</v>
      </c>
      <c r="IH15" s="58" t="s">
        <v>80</v>
      </c>
      <c r="II15" s="58" t="s">
        <v>80</v>
      </c>
      <c r="IJ15" s="58" t="s">
        <v>80</v>
      </c>
      <c r="IK15" s="58" t="s">
        <v>80</v>
      </c>
      <c r="IL15" s="58" t="s">
        <v>80</v>
      </c>
      <c r="IM15" s="61"/>
      <c r="IN15" s="58"/>
      <c r="IO15" s="58"/>
      <c r="IP15" s="61"/>
      <c r="IQ15" s="62" t="s">
        <v>80</v>
      </c>
      <c r="IR15" s="58" t="s">
        <v>80</v>
      </c>
      <c r="IS15" s="58" t="s">
        <v>80</v>
      </c>
      <c r="IT15" s="58" t="s">
        <v>80</v>
      </c>
      <c r="IU15" s="58" t="s">
        <v>80</v>
      </c>
      <c r="IV15" s="58" t="s">
        <v>80</v>
      </c>
      <c r="IW15" s="61"/>
      <c r="IX15" s="58"/>
      <c r="IY15" s="58"/>
      <c r="IZ15" s="61"/>
      <c r="JA15" s="62" t="s">
        <v>80</v>
      </c>
      <c r="JB15" s="58" t="s">
        <v>80</v>
      </c>
      <c r="JC15" s="58" t="s">
        <v>80</v>
      </c>
      <c r="JD15" s="58" t="s">
        <v>80</v>
      </c>
      <c r="JE15" s="58" t="s">
        <v>80</v>
      </c>
      <c r="JF15" s="58"/>
      <c r="JG15" s="61"/>
      <c r="JH15" s="58"/>
      <c r="JI15" s="58"/>
      <c r="JJ15" s="61"/>
      <c r="JK15" s="62" t="s">
        <v>80</v>
      </c>
      <c r="JL15" s="58" t="s">
        <v>80</v>
      </c>
      <c r="JM15" s="58" t="s">
        <v>80</v>
      </c>
      <c r="JN15" s="58"/>
      <c r="JO15" s="58" t="s">
        <v>80</v>
      </c>
      <c r="JP15" s="58" t="s">
        <v>80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80</v>
      </c>
      <c r="HY16" s="34" t="s">
        <v>80</v>
      </c>
      <c r="HZ16" s="34" t="s">
        <v>80</v>
      </c>
      <c r="IA16" s="34" t="s">
        <v>80</v>
      </c>
      <c r="IB16" s="34" t="s">
        <v>80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88</v>
      </c>
      <c r="JQ16" s="46"/>
      <c r="JR16" s="34"/>
      <c r="JS16" s="34"/>
      <c r="JT16" s="46"/>
      <c r="JU16" s="49">
        <v>9</v>
      </c>
      <c r="JV16" s="34">
        <v>9</v>
      </c>
      <c r="JW16" s="34">
        <v>5</v>
      </c>
      <c r="JX16" s="34">
        <v>9</v>
      </c>
      <c r="JY16" s="34">
        <v>9</v>
      </c>
      <c r="JZ16" s="34">
        <v>5</v>
      </c>
      <c r="KA16" s="46"/>
      <c r="KB16" s="34"/>
      <c r="KC16" s="34"/>
      <c r="KD16" s="46"/>
      <c r="KE16" s="49">
        <v>9</v>
      </c>
      <c r="KF16" s="34">
        <v>9</v>
      </c>
      <c r="KG16" s="34"/>
      <c r="KH16" s="34"/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>
        <v>9</v>
      </c>
      <c r="JW17" s="34">
        <v>9</v>
      </c>
      <c r="JX17" s="34">
        <v>9</v>
      </c>
      <c r="JY17" s="34">
        <v>9</v>
      </c>
      <c r="JZ17" s="34">
        <v>7</v>
      </c>
      <c r="KA17" s="46"/>
      <c r="KB17" s="34"/>
      <c r="KC17" s="34"/>
      <c r="KD17" s="46"/>
      <c r="KE17" s="49">
        <v>9</v>
      </c>
      <c r="KF17" s="34">
        <v>9</v>
      </c>
      <c r="KG17" s="34"/>
      <c r="KH17" s="34"/>
      <c r="KI17" s="34"/>
      <c r="KJ17" s="34"/>
      <c r="KK17" s="46"/>
      <c r="KL17" s="34"/>
      <c r="KM17" s="34"/>
      <c r="KN17" s="46"/>
      <c r="KO17" s="49"/>
      <c r="KP17" s="34"/>
      <c r="KQ17" s="34"/>
      <c r="KR17" s="34"/>
      <c r="KS17" s="34"/>
      <c r="KT17" s="34"/>
      <c r="KU17" s="46"/>
      <c r="KV17" s="34"/>
      <c r="KW17" s="34"/>
      <c r="KX17" s="46"/>
      <c r="KY17" s="49"/>
      <c r="KZ17" s="34"/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>
        <v>9</v>
      </c>
      <c r="JW20" s="34">
        <v>9</v>
      </c>
      <c r="JX20" s="34">
        <v>9</v>
      </c>
      <c r="JY20" s="34">
        <v>9</v>
      </c>
      <c r="JZ20" s="34">
        <v>5</v>
      </c>
      <c r="KA20" s="46"/>
      <c r="KB20" s="34"/>
      <c r="KC20" s="34"/>
      <c r="KD20" s="46"/>
      <c r="KE20" s="49">
        <v>9</v>
      </c>
      <c r="KF20" s="34">
        <v>9</v>
      </c>
      <c r="KG20" s="34"/>
      <c r="KH20" s="34"/>
      <c r="KI20" s="34"/>
      <c r="KJ20" s="34"/>
      <c r="KK20" s="46"/>
      <c r="KL20" s="34"/>
      <c r="KM20" s="34"/>
      <c r="KN20" s="46"/>
      <c r="KO20" s="49"/>
      <c r="KP20" s="34"/>
      <c r="KQ20" s="34"/>
      <c r="KR20" s="34"/>
      <c r="KS20" s="34"/>
      <c r="KT20" s="34"/>
      <c r="KU20" s="46"/>
      <c r="KV20" s="34"/>
      <c r="KW20" s="34"/>
      <c r="KX20" s="46"/>
      <c r="KY20" s="49"/>
      <c r="KZ20" s="34"/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93</v>
      </c>
      <c r="GC21" s="34">
        <v>10</v>
      </c>
      <c r="GD21" s="34" t="s">
        <v>80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>
        <v>9</v>
      </c>
      <c r="JW21" s="34">
        <v>9</v>
      </c>
      <c r="JX21" s="34">
        <v>9</v>
      </c>
      <c r="JY21" s="34">
        <v>9</v>
      </c>
      <c r="JZ21" s="34">
        <v>5</v>
      </c>
      <c r="KA21" s="46"/>
      <c r="KB21" s="34"/>
      <c r="KC21" s="34"/>
      <c r="KD21" s="46"/>
      <c r="KE21" s="49">
        <v>9</v>
      </c>
      <c r="KF21" s="34">
        <v>9</v>
      </c>
      <c r="KG21" s="34"/>
      <c r="KH21" s="34"/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88</v>
      </c>
      <c r="HZ22" s="34" t="s">
        <v>88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 t="s">
        <v>73</v>
      </c>
      <c r="JW22" s="34" t="s">
        <v>73</v>
      </c>
      <c r="JX22" s="34" t="s">
        <v>73</v>
      </c>
      <c r="JY22" s="34" t="s">
        <v>73</v>
      </c>
      <c r="JZ22" s="34">
        <v>5</v>
      </c>
      <c r="KA22" s="46"/>
      <c r="KB22" s="34"/>
      <c r="KC22" s="34"/>
      <c r="KD22" s="46"/>
      <c r="KE22" s="49">
        <v>9</v>
      </c>
      <c r="KF22" s="34">
        <v>9</v>
      </c>
      <c r="KG22" s="34"/>
      <c r="KH22" s="34"/>
      <c r="KI22" s="34"/>
      <c r="KJ22" s="34"/>
      <c r="KK22" s="46"/>
      <c r="KL22" s="34"/>
      <c r="KM22" s="34"/>
      <c r="KN22" s="46"/>
      <c r="KO22" s="49"/>
      <c r="KP22" s="34"/>
      <c r="KQ22" s="34"/>
      <c r="KR22" s="34"/>
      <c r="KS22" s="34"/>
      <c r="KT22" s="34"/>
      <c r="KU22" s="46"/>
      <c r="KV22" s="34"/>
      <c r="KW22" s="34"/>
      <c r="KX22" s="46"/>
      <c r="KY22" s="49"/>
      <c r="KZ22" s="34"/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104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88</v>
      </c>
      <c r="JQ23" s="46"/>
      <c r="JR23" s="34"/>
      <c r="JS23" s="34"/>
      <c r="JT23" s="46"/>
      <c r="JU23" s="49">
        <v>9</v>
      </c>
      <c r="JV23" s="34">
        <v>9</v>
      </c>
      <c r="JW23" s="34">
        <v>9</v>
      </c>
      <c r="JX23" s="34">
        <v>9</v>
      </c>
      <c r="JY23" s="34">
        <v>9</v>
      </c>
      <c r="JZ23" s="34">
        <v>5</v>
      </c>
      <c r="KA23" s="46"/>
      <c r="KB23" s="34"/>
      <c r="KC23" s="34"/>
      <c r="KD23" s="46"/>
      <c r="KE23" s="49">
        <v>9</v>
      </c>
      <c r="KF23" s="34">
        <v>9</v>
      </c>
      <c r="KG23" s="34"/>
      <c r="KH23" s="34"/>
      <c r="KI23" s="34"/>
      <c r="KJ23" s="34"/>
      <c r="KK23" s="46"/>
      <c r="KL23" s="34"/>
      <c r="KM23" s="34"/>
      <c r="KN23" s="46"/>
      <c r="KO23" s="49"/>
      <c r="KP23" s="34"/>
      <c r="KQ23" s="34"/>
      <c r="KR23" s="34"/>
      <c r="KS23" s="34"/>
      <c r="KT23" s="34"/>
      <c r="KU23" s="46"/>
      <c r="KV23" s="34"/>
      <c r="KW23" s="34"/>
      <c r="KX23" s="46"/>
      <c r="KY23" s="49"/>
      <c r="KZ23" s="34"/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>
        <v>9</v>
      </c>
      <c r="JW24" s="34">
        <v>9</v>
      </c>
      <c r="JX24" s="34">
        <v>9</v>
      </c>
      <c r="JY24" s="34">
        <v>9</v>
      </c>
      <c r="JZ24" s="34">
        <v>5</v>
      </c>
      <c r="KA24" s="46"/>
      <c r="KB24" s="34"/>
      <c r="KC24" s="34"/>
      <c r="KD24" s="46"/>
      <c r="KE24" s="49">
        <v>9</v>
      </c>
      <c r="KF24" s="34">
        <v>9</v>
      </c>
      <c r="KG24" s="34"/>
      <c r="KH24" s="34"/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>
        <v>9</v>
      </c>
      <c r="JW25" s="34">
        <v>9</v>
      </c>
      <c r="JX25" s="34">
        <v>9</v>
      </c>
      <c r="JY25" s="34">
        <v>9</v>
      </c>
      <c r="JZ25" s="34">
        <v>5</v>
      </c>
      <c r="KA25" s="46"/>
      <c r="KB25" s="34"/>
      <c r="KC25" s="34"/>
      <c r="KD25" s="46"/>
      <c r="KE25" s="49">
        <v>9</v>
      </c>
      <c r="KF25" s="34">
        <v>9</v>
      </c>
      <c r="KG25" s="34"/>
      <c r="KH25" s="34"/>
      <c r="KI25" s="34"/>
      <c r="KJ25" s="34"/>
      <c r="KK25" s="46"/>
      <c r="KL25" s="34"/>
      <c r="KM25" s="34"/>
      <c r="KN25" s="46"/>
      <c r="KO25" s="49"/>
      <c r="KP25" s="34"/>
      <c r="KQ25" s="34"/>
      <c r="KR25" s="34"/>
      <c r="KS25" s="34"/>
      <c r="KT25" s="34"/>
      <c r="KU25" s="46"/>
      <c r="KV25" s="34"/>
      <c r="KW25" s="34"/>
      <c r="KX25" s="46"/>
      <c r="KY25" s="49"/>
      <c r="KZ25" s="34"/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80</v>
      </c>
      <c r="JQ27" s="46"/>
      <c r="JR27" s="34"/>
      <c r="JS27" s="34"/>
      <c r="JT27" s="46"/>
      <c r="JU27" s="49">
        <v>9</v>
      </c>
      <c r="JV27" s="34">
        <v>9</v>
      </c>
      <c r="JW27" s="34">
        <v>9</v>
      </c>
      <c r="JX27" s="34">
        <v>9</v>
      </c>
      <c r="JY27" s="34">
        <v>9</v>
      </c>
      <c r="JZ27" s="34">
        <v>5</v>
      </c>
      <c r="KA27" s="46"/>
      <c r="KB27" s="34"/>
      <c r="KC27" s="34"/>
      <c r="KD27" s="46"/>
      <c r="KE27" s="49">
        <v>9</v>
      </c>
      <c r="KF27" s="34">
        <v>9</v>
      </c>
      <c r="KG27" s="34"/>
      <c r="KH27" s="34"/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80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>
        <v>9</v>
      </c>
      <c r="JW29" s="34">
        <v>9</v>
      </c>
      <c r="JX29" s="34">
        <v>9</v>
      </c>
      <c r="JY29" s="34">
        <v>9</v>
      </c>
      <c r="JZ29" s="34">
        <v>5</v>
      </c>
      <c r="KA29" s="46"/>
      <c r="KB29" s="34"/>
      <c r="KC29" s="34"/>
      <c r="KD29" s="46"/>
      <c r="KE29" s="49">
        <v>9</v>
      </c>
      <c r="KF29" s="34">
        <v>9</v>
      </c>
      <c r="KG29" s="34"/>
      <c r="KH29" s="34"/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92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80</v>
      </c>
      <c r="GA30" s="34" t="s">
        <v>80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93</v>
      </c>
      <c r="GC31" s="34">
        <v>10</v>
      </c>
      <c r="GD31" s="34" t="s">
        <v>80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>
        <v>9</v>
      </c>
      <c r="JW31" s="34">
        <v>9</v>
      </c>
      <c r="JX31" s="34">
        <v>9</v>
      </c>
      <c r="JY31" s="34">
        <v>9</v>
      </c>
      <c r="JZ31" s="34">
        <v>5</v>
      </c>
      <c r="KA31" s="46"/>
      <c r="KB31" s="34"/>
      <c r="KC31" s="34"/>
      <c r="KD31" s="46"/>
      <c r="KE31" s="49">
        <v>9</v>
      </c>
      <c r="KF31" s="34">
        <v>9</v>
      </c>
      <c r="KG31" s="34"/>
      <c r="KH31" s="34"/>
      <c r="KI31" s="34"/>
      <c r="KJ31" s="34"/>
      <c r="KK31" s="46"/>
      <c r="KL31" s="34"/>
      <c r="KM31" s="34"/>
      <c r="KN31" s="46"/>
      <c r="KO31" s="49"/>
      <c r="KP31" s="34"/>
      <c r="KQ31" s="34"/>
      <c r="KR31" s="34"/>
      <c r="KS31" s="34"/>
      <c r="KT31" s="34"/>
      <c r="KU31" s="46"/>
      <c r="KV31" s="34"/>
      <c r="KW31" s="34"/>
      <c r="KX31" s="46"/>
      <c r="KY31" s="49"/>
      <c r="KZ31" s="34"/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>
        <v>9</v>
      </c>
      <c r="JW32" s="34">
        <v>9</v>
      </c>
      <c r="JX32" s="34">
        <v>9</v>
      </c>
      <c r="JY32" s="34">
        <v>9</v>
      </c>
      <c r="JZ32" s="34">
        <v>5</v>
      </c>
      <c r="KA32" s="46"/>
      <c r="KB32" s="34"/>
      <c r="KC32" s="34"/>
      <c r="KD32" s="46"/>
      <c r="KE32" s="49">
        <v>9</v>
      </c>
      <c r="KF32" s="34">
        <v>9</v>
      </c>
      <c r="KG32" s="34"/>
      <c r="KH32" s="34"/>
      <c r="KI32" s="34"/>
      <c r="KJ32" s="34"/>
      <c r="KK32" s="46"/>
      <c r="KL32" s="34"/>
      <c r="KM32" s="34"/>
      <c r="KN32" s="46"/>
      <c r="KO32" s="49"/>
      <c r="KP32" s="34"/>
      <c r="KQ32" s="34"/>
      <c r="KR32" s="34"/>
      <c r="KS32" s="34"/>
      <c r="KT32" s="34"/>
      <c r="KU32" s="46"/>
      <c r="KV32" s="34"/>
      <c r="KW32" s="34"/>
      <c r="KX32" s="46"/>
      <c r="KY32" s="49"/>
      <c r="KZ32" s="34"/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>
        <v>9</v>
      </c>
      <c r="JW33" s="34">
        <v>9</v>
      </c>
      <c r="JX33" s="34">
        <v>9</v>
      </c>
      <c r="JY33" s="34">
        <v>9</v>
      </c>
      <c r="JZ33" s="34">
        <v>7</v>
      </c>
      <c r="KA33" s="46"/>
      <c r="KB33" s="34"/>
      <c r="KC33" s="34"/>
      <c r="KD33" s="46"/>
      <c r="KE33" s="49">
        <v>9</v>
      </c>
      <c r="KF33" s="34">
        <v>9</v>
      </c>
      <c r="KG33" s="34"/>
      <c r="KH33" s="34"/>
      <c r="KI33" s="34"/>
      <c r="KJ33" s="34"/>
      <c r="KK33" s="46"/>
      <c r="KL33" s="34"/>
      <c r="KM33" s="34"/>
      <c r="KN33" s="46"/>
      <c r="KO33" s="49"/>
      <c r="KP33" s="34"/>
      <c r="KQ33" s="34"/>
      <c r="KR33" s="34"/>
      <c r="KS33" s="34"/>
      <c r="KT33" s="34"/>
      <c r="KU33" s="46"/>
      <c r="KV33" s="34"/>
      <c r="KW33" s="34"/>
      <c r="KX33" s="46"/>
      <c r="KY33" s="49"/>
      <c r="KZ33" s="34"/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88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>
        <v>9</v>
      </c>
      <c r="JW34" s="34">
        <v>9</v>
      </c>
      <c r="JX34" s="34">
        <v>9</v>
      </c>
      <c r="JY34" s="34">
        <v>9</v>
      </c>
      <c r="JZ34" s="34" t="s">
        <v>80</v>
      </c>
      <c r="KA34" s="46"/>
      <c r="KB34" s="34"/>
      <c r="KC34" s="34"/>
      <c r="KD34" s="46"/>
      <c r="KE34" s="49">
        <v>9</v>
      </c>
      <c r="KF34" s="34">
        <v>9</v>
      </c>
      <c r="KG34" s="34"/>
      <c r="KH34" s="34"/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104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>
        <v>9</v>
      </c>
      <c r="JW38" s="34">
        <v>9</v>
      </c>
      <c r="JX38" s="34">
        <v>9</v>
      </c>
      <c r="JY38" s="34">
        <v>9</v>
      </c>
      <c r="JZ38" s="34">
        <v>5</v>
      </c>
      <c r="KA38" s="46"/>
      <c r="KB38" s="34"/>
      <c r="KC38" s="34"/>
      <c r="KD38" s="46"/>
      <c r="KE38" s="49">
        <v>9</v>
      </c>
      <c r="KF38" s="34">
        <v>9</v>
      </c>
      <c r="KG38" s="34"/>
      <c r="KH38" s="34"/>
      <c r="KI38" s="34"/>
      <c r="KJ38" s="34"/>
      <c r="KK38" s="46"/>
      <c r="KL38" s="34"/>
      <c r="KM38" s="34"/>
      <c r="KN38" s="46"/>
      <c r="KO38" s="49"/>
      <c r="KP38" s="34"/>
      <c r="KQ38" s="34"/>
      <c r="KR38" s="34"/>
      <c r="KS38" s="34"/>
      <c r="KT38" s="34"/>
      <c r="KU38" s="46"/>
      <c r="KV38" s="34"/>
      <c r="KW38" s="34"/>
      <c r="KX38" s="46"/>
      <c r="KY38" s="49"/>
      <c r="KZ38" s="34"/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92</v>
      </c>
      <c r="EC39" s="34" t="s">
        <v>79</v>
      </c>
      <c r="ED39" s="34" t="s">
        <v>92</v>
      </c>
      <c r="EE39" s="34"/>
      <c r="EF39" s="34"/>
      <c r="EG39" s="46"/>
      <c r="EH39" s="34"/>
      <c r="EI39" s="34"/>
      <c r="EJ39" s="46"/>
      <c r="EK39" s="49">
        <v>9</v>
      </c>
      <c r="EL39" s="34" t="s">
        <v>92</v>
      </c>
      <c r="EM39" s="34" t="s">
        <v>92</v>
      </c>
      <c r="EN39" s="34" t="s">
        <v>92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80</v>
      </c>
      <c r="HZ39" s="34" t="s">
        <v>80</v>
      </c>
      <c r="IA39" s="34" t="s">
        <v>80</v>
      </c>
      <c r="IB39" s="34" t="s">
        <v>80</v>
      </c>
      <c r="IC39" s="46"/>
      <c r="ID39" s="34"/>
      <c r="IE39" s="34"/>
      <c r="IF39" s="46"/>
      <c r="IG39" s="49" t="s">
        <v>80</v>
      </c>
      <c r="IH39" s="49" t="s">
        <v>80</v>
      </c>
      <c r="II39" s="49" t="s">
        <v>80</v>
      </c>
      <c r="IJ39" s="49" t="s">
        <v>80</v>
      </c>
      <c r="IK39" s="49" t="s">
        <v>80</v>
      </c>
      <c r="IL39" s="49" t="s">
        <v>80</v>
      </c>
      <c r="IM39" s="46"/>
      <c r="IN39" s="34"/>
      <c r="IO39" s="34"/>
      <c r="IP39" s="46"/>
      <c r="IQ39" s="49" t="s">
        <v>80</v>
      </c>
      <c r="IR39" s="34" t="s">
        <v>80</v>
      </c>
      <c r="IS39" s="34" t="s">
        <v>80</v>
      </c>
      <c r="IT39" s="34" t="s">
        <v>80</v>
      </c>
      <c r="IU39" s="34" t="s">
        <v>80</v>
      </c>
      <c r="IV39" s="34">
        <v>8</v>
      </c>
      <c r="IW39" s="46"/>
      <c r="IX39" s="34"/>
      <c r="IY39" s="34"/>
      <c r="IZ39" s="46"/>
      <c r="JA39" s="49" t="s">
        <v>80</v>
      </c>
      <c r="JB39" s="34" t="s">
        <v>80</v>
      </c>
      <c r="JC39" s="34" t="s">
        <v>80</v>
      </c>
      <c r="JD39" s="34" t="s">
        <v>80</v>
      </c>
      <c r="JE39" s="34" t="s">
        <v>80</v>
      </c>
      <c r="JF39" s="34"/>
      <c r="JG39" s="46"/>
      <c r="JH39" s="34"/>
      <c r="JI39" s="34"/>
      <c r="JJ39" s="46"/>
      <c r="JK39" s="49" t="s">
        <v>80</v>
      </c>
      <c r="JL39" s="34" t="s">
        <v>80</v>
      </c>
      <c r="JM39" s="34" t="s">
        <v>80</v>
      </c>
      <c r="JN39" s="34"/>
      <c r="JO39" s="34" t="s">
        <v>80</v>
      </c>
      <c r="JP39" s="34" t="s">
        <v>80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92</v>
      </c>
      <c r="EC40" s="34" t="s">
        <v>79</v>
      </c>
      <c r="ED40" s="34" t="s">
        <v>92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80</v>
      </c>
      <c r="HZ40" s="34" t="s">
        <v>80</v>
      </c>
      <c r="IA40" s="34" t="s">
        <v>80</v>
      </c>
      <c r="IB40" s="34" t="s">
        <v>80</v>
      </c>
      <c r="IC40" s="46"/>
      <c r="ID40" s="34"/>
      <c r="IE40" s="34"/>
      <c r="IF40" s="46"/>
      <c r="IG40" s="49" t="s">
        <v>80</v>
      </c>
      <c r="IH40" s="49" t="s">
        <v>80</v>
      </c>
      <c r="II40" s="49" t="s">
        <v>80</v>
      </c>
      <c r="IJ40" s="49" t="s">
        <v>80</v>
      </c>
      <c r="IK40" s="49" t="s">
        <v>80</v>
      </c>
      <c r="IL40" s="49" t="s">
        <v>80</v>
      </c>
      <c r="IM40" s="46"/>
      <c r="IN40" s="34"/>
      <c r="IO40" s="34"/>
      <c r="IP40" s="46"/>
      <c r="IQ40" s="49" t="s">
        <v>80</v>
      </c>
      <c r="IR40" s="34" t="s">
        <v>80</v>
      </c>
      <c r="IS40" s="34" t="s">
        <v>80</v>
      </c>
      <c r="IT40" s="34" t="s">
        <v>80</v>
      </c>
      <c r="IU40" s="34" t="s">
        <v>80</v>
      </c>
      <c r="IV40" s="34">
        <v>8</v>
      </c>
      <c r="IW40" s="46"/>
      <c r="IX40" s="34"/>
      <c r="IY40" s="34"/>
      <c r="IZ40" s="46"/>
      <c r="JA40" s="49" t="s">
        <v>80</v>
      </c>
      <c r="JB40" s="34" t="s">
        <v>80</v>
      </c>
      <c r="JC40" s="34" t="s">
        <v>80</v>
      </c>
      <c r="JD40" s="34" t="s">
        <v>80</v>
      </c>
      <c r="JE40" s="34" t="s">
        <v>80</v>
      </c>
      <c r="JF40" s="34"/>
      <c r="JG40" s="46"/>
      <c r="JH40" s="34"/>
      <c r="JI40" s="34"/>
      <c r="JJ40" s="46"/>
      <c r="JK40" s="49" t="s">
        <v>80</v>
      </c>
      <c r="JL40" s="34" t="s">
        <v>80</v>
      </c>
      <c r="JM40" s="34" t="s">
        <v>80</v>
      </c>
      <c r="JN40" s="34"/>
      <c r="JO40" s="34" t="s">
        <v>80</v>
      </c>
      <c r="JP40" s="34" t="s">
        <v>80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80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>
        <v>9</v>
      </c>
      <c r="JW41" s="34">
        <v>9</v>
      </c>
      <c r="JX41" s="34">
        <v>9</v>
      </c>
      <c r="JY41" s="34">
        <v>9</v>
      </c>
      <c r="JZ41" s="34">
        <v>5</v>
      </c>
      <c r="KA41" s="46"/>
      <c r="KB41" s="34"/>
      <c r="KC41" s="34"/>
      <c r="KD41" s="46"/>
      <c r="KE41" s="49">
        <v>9</v>
      </c>
      <c r="KF41" s="34">
        <v>9</v>
      </c>
      <c r="KG41" s="34"/>
      <c r="KH41" s="34"/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>
        <v>9</v>
      </c>
      <c r="JW42" s="34">
        <v>9</v>
      </c>
      <c r="JX42" s="34">
        <v>9</v>
      </c>
      <c r="JY42" s="34">
        <v>9</v>
      </c>
      <c r="JZ42" s="34">
        <v>7</v>
      </c>
      <c r="KA42" s="46"/>
      <c r="KB42" s="34"/>
      <c r="KC42" s="34"/>
      <c r="KD42" s="46"/>
      <c r="KE42" s="49">
        <v>9</v>
      </c>
      <c r="KF42" s="34">
        <v>9</v>
      </c>
      <c r="KG42" s="34"/>
      <c r="KH42" s="34"/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104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80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>
        <v>9</v>
      </c>
      <c r="JW43" s="34">
        <v>9</v>
      </c>
      <c r="JX43" s="34">
        <v>9</v>
      </c>
      <c r="JY43" s="34">
        <v>9</v>
      </c>
      <c r="JZ43" s="34">
        <v>5</v>
      </c>
      <c r="KA43" s="46"/>
      <c r="KB43" s="34"/>
      <c r="KC43" s="34"/>
      <c r="KD43" s="46"/>
      <c r="KE43" s="49">
        <v>9</v>
      </c>
      <c r="KF43" s="34">
        <v>9</v>
      </c>
      <c r="KG43" s="34"/>
      <c r="KH43" s="34"/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>
        <v>9</v>
      </c>
      <c r="JW45" s="34">
        <v>9</v>
      </c>
      <c r="JX45" s="34">
        <v>9</v>
      </c>
      <c r="JY45" s="34">
        <v>9</v>
      </c>
      <c r="JZ45" s="34">
        <v>5</v>
      </c>
      <c r="KA45" s="46"/>
      <c r="KB45" s="34"/>
      <c r="KC45" s="34"/>
      <c r="KD45" s="46"/>
      <c r="KE45" s="49">
        <v>9</v>
      </c>
      <c r="KF45" s="34">
        <v>9</v>
      </c>
      <c r="KG45" s="34"/>
      <c r="KH45" s="34"/>
      <c r="KI45" s="34"/>
      <c r="KJ45" s="34"/>
      <c r="KK45" s="46"/>
      <c r="KL45" s="34"/>
      <c r="KM45" s="34"/>
      <c r="KN45" s="46"/>
      <c r="KO45" s="49"/>
      <c r="KP45" s="34"/>
      <c r="KQ45" s="34"/>
      <c r="KR45" s="34"/>
      <c r="KS45" s="34"/>
      <c r="KT45" s="34"/>
      <c r="KU45" s="46"/>
      <c r="KV45" s="34"/>
      <c r="KW45" s="34"/>
      <c r="KX45" s="46"/>
      <c r="KY45" s="49"/>
      <c r="KZ45" s="34"/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88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>
        <v>9</v>
      </c>
      <c r="JW46" s="73">
        <v>9</v>
      </c>
      <c r="JX46" s="73">
        <v>9</v>
      </c>
      <c r="JY46" s="73">
        <v>9</v>
      </c>
      <c r="JZ46" s="73">
        <v>7</v>
      </c>
      <c r="KA46" s="76"/>
      <c r="KB46" s="73"/>
      <c r="KC46" s="73"/>
      <c r="KD46" s="76"/>
      <c r="KE46" s="77">
        <v>9</v>
      </c>
      <c r="KF46" s="73">
        <v>9</v>
      </c>
      <c r="KG46" s="73"/>
      <c r="KH46" s="73"/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x14ac:dyDescent="0.25">
      <c r="A47" s="42" t="s">
        <v>209</v>
      </c>
      <c r="B47" s="43" t="s">
        <v>210</v>
      </c>
      <c r="C47" s="31"/>
      <c r="D47" s="31">
        <v>0</v>
      </c>
      <c r="E47" s="31">
        <v>0</v>
      </c>
      <c r="F47" s="31">
        <v>0</v>
      </c>
      <c r="G47" s="31">
        <v>9</v>
      </c>
      <c r="H47" s="31">
        <v>9</v>
      </c>
      <c r="I47" s="32" t="s">
        <v>211</v>
      </c>
      <c r="J47" s="42" t="s">
        <v>114</v>
      </c>
      <c r="K47" s="50"/>
      <c r="L47" s="34"/>
      <c r="M47" s="34"/>
      <c r="N47" s="34"/>
      <c r="O47" s="34"/>
      <c r="P47" s="34"/>
      <c r="Q47" s="34"/>
      <c r="R47" s="39">
        <v>0</v>
      </c>
      <c r="S47" s="39">
        <v>0</v>
      </c>
      <c r="T47" s="45">
        <v>0</v>
      </c>
      <c r="U47" s="34"/>
      <c r="V47" s="34"/>
      <c r="W47" s="34"/>
      <c r="X47" s="34"/>
      <c r="Y47" s="34"/>
      <c r="Z47" s="34"/>
      <c r="AA47" s="46"/>
      <c r="AB47" s="39">
        <v>0</v>
      </c>
      <c r="AC47" s="39">
        <v>0</v>
      </c>
      <c r="AD47" s="45">
        <v>0</v>
      </c>
      <c r="AE47" s="49"/>
      <c r="AF47" s="34"/>
      <c r="AG47" s="34"/>
      <c r="AH47" s="34"/>
      <c r="AI47" s="34"/>
      <c r="AJ47" s="34"/>
      <c r="AK47" s="46"/>
      <c r="AL47" s="39">
        <v>0</v>
      </c>
      <c r="AM47" s="39">
        <v>0</v>
      </c>
      <c r="AN47" s="45">
        <v>0</v>
      </c>
      <c r="AO47" s="49"/>
      <c r="AP47" s="34"/>
      <c r="AQ47" s="34"/>
      <c r="AR47" s="34"/>
      <c r="AS47" s="34"/>
      <c r="AT47" s="34"/>
      <c r="AU47" s="46"/>
      <c r="AV47" s="39">
        <v>0</v>
      </c>
      <c r="AW47" s="39">
        <v>0</v>
      </c>
      <c r="AX47" s="45">
        <v>0</v>
      </c>
      <c r="AY47" s="49"/>
      <c r="AZ47" s="34"/>
      <c r="BA47" s="34"/>
      <c r="BB47" s="34"/>
      <c r="BC47" s="34"/>
      <c r="BD47" s="34"/>
      <c r="BE47" s="46"/>
      <c r="BF47" s="39">
        <v>0</v>
      </c>
      <c r="BG47" s="39">
        <v>0</v>
      </c>
      <c r="BH47" s="45">
        <v>0</v>
      </c>
      <c r="BI47" s="49"/>
      <c r="BJ47" s="34"/>
      <c r="BK47" s="34" t="s">
        <v>67</v>
      </c>
      <c r="BL47" s="34"/>
      <c r="BM47" s="34"/>
      <c r="BN47" s="33">
        <v>8</v>
      </c>
      <c r="BO47" s="46"/>
      <c r="BP47" s="33">
        <v>8</v>
      </c>
      <c r="BQ47" s="39">
        <v>0</v>
      </c>
      <c r="BR47" s="45">
        <v>0</v>
      </c>
      <c r="BS47" s="47">
        <v>9</v>
      </c>
      <c r="BT47" s="33">
        <v>9</v>
      </c>
      <c r="BU47" s="33">
        <v>9</v>
      </c>
      <c r="BV47" s="34"/>
      <c r="BW47" s="33">
        <v>9</v>
      </c>
      <c r="BX47" s="33">
        <v>9</v>
      </c>
      <c r="BY47" s="46"/>
      <c r="BZ47" s="39">
        <v>40</v>
      </c>
      <c r="CA47" s="33">
        <v>5</v>
      </c>
      <c r="CB47" s="45">
        <v>0</v>
      </c>
      <c r="CC47" s="47">
        <v>9</v>
      </c>
      <c r="CD47" s="33">
        <v>9</v>
      </c>
      <c r="CE47" s="33">
        <v>9</v>
      </c>
      <c r="CF47" s="33">
        <v>9</v>
      </c>
      <c r="CG47" s="33">
        <v>9</v>
      </c>
      <c r="CH47" s="33">
        <v>9</v>
      </c>
      <c r="CI47" s="46"/>
      <c r="CJ47" s="39">
        <v>40</v>
      </c>
      <c r="CK47" s="33">
        <v>8</v>
      </c>
      <c r="CL47" s="48">
        <v>6</v>
      </c>
      <c r="CM47" s="49"/>
      <c r="CN47" s="39" t="s">
        <v>67</v>
      </c>
      <c r="CO47" s="34"/>
      <c r="CP47" s="33">
        <v>9</v>
      </c>
      <c r="CQ47" s="33">
        <v>9</v>
      </c>
      <c r="CR47" s="33">
        <v>9</v>
      </c>
      <c r="CS47" s="46"/>
      <c r="CT47" s="39">
        <v>27</v>
      </c>
      <c r="CU47" s="39">
        <v>0</v>
      </c>
      <c r="CV47" s="40">
        <v>0</v>
      </c>
      <c r="CW47" s="49" t="s">
        <v>67</v>
      </c>
      <c r="CX47" s="34" t="s">
        <v>67</v>
      </c>
      <c r="CY47" s="34" t="s">
        <v>67</v>
      </c>
      <c r="CZ47" s="34" t="s">
        <v>67</v>
      </c>
      <c r="DA47" s="34" t="s">
        <v>67</v>
      </c>
      <c r="DB47" s="34" t="s">
        <v>67</v>
      </c>
      <c r="DC47" s="46"/>
      <c r="DD47" s="34"/>
      <c r="DE47" s="34"/>
      <c r="DF47" s="46"/>
      <c r="DG47" s="49" t="s">
        <v>67</v>
      </c>
      <c r="DH47" s="34" t="s">
        <v>67</v>
      </c>
      <c r="DI47" s="34" t="s">
        <v>67</v>
      </c>
      <c r="DJ47" s="34" t="s">
        <v>67</v>
      </c>
      <c r="DK47" s="34">
        <v>9</v>
      </c>
      <c r="DL47" s="34">
        <v>9</v>
      </c>
      <c r="DM47" s="46"/>
      <c r="DN47" s="34"/>
      <c r="DO47" s="34"/>
      <c r="DP47" s="46"/>
      <c r="DQ47" s="49">
        <v>9</v>
      </c>
      <c r="DR47" s="34">
        <v>9</v>
      </c>
      <c r="DS47" s="34">
        <v>9</v>
      </c>
      <c r="DT47" s="34">
        <v>9</v>
      </c>
      <c r="DU47" s="34">
        <v>9</v>
      </c>
      <c r="DV47" s="34">
        <v>9</v>
      </c>
      <c r="DW47" s="46"/>
      <c r="DX47" s="34"/>
      <c r="DY47" s="34"/>
      <c r="DZ47" s="46"/>
      <c r="EA47" s="49">
        <v>9</v>
      </c>
      <c r="EB47" s="34">
        <v>3</v>
      </c>
      <c r="EC47" s="34" t="s">
        <v>79</v>
      </c>
      <c r="ED47" s="34">
        <v>6</v>
      </c>
      <c r="EE47" s="34"/>
      <c r="EF47" s="34"/>
      <c r="EG47" s="46"/>
      <c r="EH47" s="34"/>
      <c r="EI47" s="34"/>
      <c r="EJ47" s="46"/>
      <c r="EK47" s="49">
        <v>9</v>
      </c>
      <c r="EL47" s="34" t="s">
        <v>67</v>
      </c>
      <c r="EM47" s="34" t="s">
        <v>67</v>
      </c>
      <c r="EN47" s="34"/>
      <c r="EO47" s="34"/>
      <c r="EP47" s="34"/>
      <c r="EQ47" s="46"/>
      <c r="ER47" s="34"/>
      <c r="ES47" s="34"/>
      <c r="ET47" s="46"/>
      <c r="EU47" s="49" t="s">
        <v>67</v>
      </c>
      <c r="EV47" s="34" t="s">
        <v>67</v>
      </c>
      <c r="EW47" s="34">
        <v>9</v>
      </c>
      <c r="EX47" s="34">
        <v>9</v>
      </c>
      <c r="EY47" s="34"/>
      <c r="EZ47" s="34"/>
      <c r="FA47" s="46"/>
      <c r="FB47" s="34"/>
      <c r="FC47" s="34"/>
      <c r="FD47" s="46"/>
      <c r="FE47" s="49">
        <v>9</v>
      </c>
      <c r="FF47" s="34">
        <v>9</v>
      </c>
      <c r="FG47" s="34">
        <v>9</v>
      </c>
      <c r="FH47" s="34">
        <v>9</v>
      </c>
      <c r="FI47" s="34">
        <v>9</v>
      </c>
      <c r="FJ47" s="34">
        <v>9</v>
      </c>
      <c r="FK47" s="46"/>
      <c r="FL47" s="34"/>
      <c r="FM47" s="34"/>
      <c r="FN47" s="46"/>
      <c r="FO47" s="49">
        <v>9</v>
      </c>
      <c r="FP47" s="34">
        <v>9</v>
      </c>
      <c r="FQ47" s="34">
        <v>9</v>
      </c>
      <c r="FR47" s="34">
        <v>9</v>
      </c>
      <c r="FS47" s="34">
        <v>9</v>
      </c>
      <c r="FT47" s="34"/>
      <c r="FU47" s="46"/>
      <c r="FV47" s="34"/>
      <c r="FW47" s="34"/>
      <c r="FX47" s="46"/>
      <c r="FY47" s="49">
        <v>9</v>
      </c>
      <c r="FZ47" s="34">
        <v>9</v>
      </c>
      <c r="GA47" s="34">
        <v>9</v>
      </c>
      <c r="GB47" s="34" t="s">
        <v>80</v>
      </c>
      <c r="GC47" s="34" t="s">
        <v>80</v>
      </c>
      <c r="GD47" s="34" t="s">
        <v>80</v>
      </c>
      <c r="GE47" s="46"/>
      <c r="GF47" s="34"/>
      <c r="GG47" s="34"/>
      <c r="GH47" s="46"/>
      <c r="GI47" s="49" t="s">
        <v>80</v>
      </c>
      <c r="GJ47" s="34"/>
      <c r="GK47" s="34"/>
      <c r="GL47" s="34"/>
      <c r="GM47" s="34"/>
      <c r="GN47" s="34"/>
      <c r="GO47" s="46"/>
      <c r="GP47" s="34"/>
      <c r="GQ47" s="34"/>
      <c r="GR47" s="46"/>
      <c r="GS47" s="49"/>
      <c r="GT47" s="34"/>
      <c r="GU47" s="34"/>
      <c r="GV47" s="34"/>
      <c r="GW47" s="34"/>
      <c r="GX47" s="34"/>
      <c r="GY47" s="46"/>
      <c r="GZ47" s="34"/>
      <c r="HA47" s="34"/>
      <c r="HB47" s="46"/>
      <c r="HC47" s="49"/>
      <c r="HD47" s="34"/>
      <c r="HE47" s="34"/>
      <c r="HF47" s="34"/>
      <c r="HG47" s="34"/>
      <c r="HH47" s="34"/>
      <c r="HI47" s="46"/>
      <c r="HJ47" s="34"/>
      <c r="HK47" s="34"/>
      <c r="HL47" s="46"/>
      <c r="HM47" s="49"/>
      <c r="HN47" s="34"/>
      <c r="HO47" s="34"/>
      <c r="HP47" s="34"/>
      <c r="HQ47" s="34"/>
      <c r="HR47" s="34"/>
      <c r="HS47" s="46"/>
      <c r="HT47" s="34"/>
      <c r="HU47" s="34"/>
      <c r="HV47" s="46"/>
      <c r="HW47" s="49"/>
      <c r="HX47" s="34">
        <v>9</v>
      </c>
      <c r="HY47" s="34">
        <v>9</v>
      </c>
      <c r="HZ47" s="34">
        <v>9</v>
      </c>
      <c r="IA47" s="34">
        <v>9</v>
      </c>
      <c r="IB47" s="34">
        <v>9</v>
      </c>
      <c r="IC47" s="46"/>
      <c r="ID47" s="34"/>
      <c r="IE47" s="34"/>
      <c r="IF47" s="46"/>
      <c r="IG47" s="49">
        <v>9</v>
      </c>
      <c r="IH47" s="34">
        <v>9</v>
      </c>
      <c r="II47" s="34">
        <v>9</v>
      </c>
      <c r="IJ47" s="34">
        <v>9</v>
      </c>
      <c r="IK47" s="34">
        <v>9</v>
      </c>
      <c r="IL47" s="34">
        <v>9</v>
      </c>
      <c r="IM47" s="46"/>
      <c r="IN47" s="34"/>
      <c r="IO47" s="34"/>
      <c r="IP47" s="46"/>
      <c r="IQ47" s="49">
        <v>9</v>
      </c>
      <c r="IR47" s="34">
        <v>9</v>
      </c>
      <c r="IS47" s="34">
        <v>9</v>
      </c>
      <c r="IT47" s="34">
        <v>9</v>
      </c>
      <c r="IU47" s="34">
        <v>9</v>
      </c>
      <c r="IV47" s="34" t="s">
        <v>80</v>
      </c>
      <c r="IW47" s="46"/>
      <c r="IX47" s="34"/>
      <c r="IY47" s="34"/>
      <c r="IZ47" s="46"/>
      <c r="JA47" s="49" t="s">
        <v>80</v>
      </c>
      <c r="JB47" s="34" t="s">
        <v>80</v>
      </c>
      <c r="JC47" s="34" t="s">
        <v>80</v>
      </c>
      <c r="JD47" s="34" t="s">
        <v>80</v>
      </c>
      <c r="JE47" s="34" t="s">
        <v>80</v>
      </c>
      <c r="JF47" s="34"/>
      <c r="JG47" s="46"/>
      <c r="JH47" s="34"/>
      <c r="JI47" s="34"/>
      <c r="JJ47" s="46"/>
      <c r="JK47" s="49" t="s">
        <v>80</v>
      </c>
      <c r="JL47" s="34" t="s">
        <v>80</v>
      </c>
      <c r="JM47" s="34" t="s">
        <v>80</v>
      </c>
      <c r="JN47" s="34"/>
      <c r="JO47" s="34" t="s">
        <v>80</v>
      </c>
      <c r="JP47" s="34" t="s">
        <v>80</v>
      </c>
      <c r="JQ47" s="46"/>
      <c r="JR47" s="34"/>
      <c r="JS47" s="34"/>
      <c r="JT47" s="46"/>
      <c r="JU47" s="49">
        <v>9</v>
      </c>
      <c r="JV47" s="34">
        <v>9</v>
      </c>
      <c r="JW47" s="34">
        <v>9</v>
      </c>
      <c r="JX47" s="34">
        <v>9</v>
      </c>
      <c r="JY47" s="34">
        <v>9</v>
      </c>
      <c r="JZ47" s="34">
        <v>7</v>
      </c>
      <c r="KA47" s="46"/>
      <c r="KB47" s="34"/>
      <c r="KC47" s="34"/>
      <c r="KD47" s="46"/>
      <c r="KE47" s="49">
        <v>9</v>
      </c>
      <c r="KF47" s="34">
        <v>9</v>
      </c>
      <c r="KG47" s="34"/>
      <c r="KH47" s="34"/>
      <c r="KI47" s="34"/>
      <c r="KJ47" s="34"/>
      <c r="KK47" s="46"/>
      <c r="KL47" s="34"/>
      <c r="KM47" s="34"/>
      <c r="KN47" s="46"/>
      <c r="KO47" s="49"/>
      <c r="KP47" s="34"/>
      <c r="KQ47" s="34"/>
      <c r="KR47" s="34"/>
      <c r="KS47" s="34"/>
      <c r="KT47" s="34"/>
      <c r="KU47" s="46"/>
      <c r="KV47" s="34"/>
      <c r="KW47" s="34"/>
      <c r="KX47" s="46"/>
      <c r="KY47" s="49"/>
      <c r="KZ47" s="34"/>
      <c r="LA47" s="34"/>
      <c r="LB47" s="34"/>
      <c r="LC47" s="34"/>
      <c r="LD47" s="34"/>
      <c r="LE47" s="46"/>
      <c r="LF47" s="34"/>
      <c r="LG47" s="34"/>
      <c r="LH47" s="46"/>
      <c r="LI47" s="49"/>
      <c r="LJ47" s="34"/>
      <c r="LK47" s="34"/>
      <c r="LL47" s="34"/>
      <c r="LM47" s="34"/>
      <c r="LN47" s="34"/>
      <c r="LO47" s="46"/>
      <c r="LP47" s="34"/>
      <c r="LQ47" s="34"/>
      <c r="LR47" s="46"/>
      <c r="LS47" s="49"/>
      <c r="LT47" s="34"/>
      <c r="LU47" s="34"/>
      <c r="LV47" s="34"/>
      <c r="LW47" s="34"/>
      <c r="LX47" s="34"/>
      <c r="LY47" s="46"/>
      <c r="LZ47" s="34"/>
      <c r="MA47" s="34"/>
      <c r="MB47" s="46"/>
      <c r="MC47" s="49"/>
      <c r="MD47" s="34"/>
      <c r="ME47" s="34"/>
      <c r="MF47" s="34"/>
      <c r="MG47" s="34"/>
      <c r="MH47" s="34"/>
      <c r="MI47" s="46"/>
      <c r="MJ47" s="34"/>
      <c r="MK47" s="34"/>
      <c r="ML47" s="46"/>
      <c r="MM47" s="49"/>
      <c r="MN47" s="34"/>
      <c r="MO47" s="34"/>
      <c r="MP47" s="34"/>
      <c r="MQ47" s="34"/>
      <c r="MR47" s="34"/>
      <c r="MS47" s="46"/>
      <c r="MT47" s="34"/>
      <c r="MU47" s="34"/>
      <c r="MV47" s="46"/>
      <c r="MW47" s="49"/>
      <c r="MX47" s="34"/>
      <c r="MY47" s="34"/>
      <c r="MZ47" s="34"/>
      <c r="NA47" s="34"/>
      <c r="NB47" s="34"/>
      <c r="NC47" s="46"/>
      <c r="ND47" s="34"/>
      <c r="NE47" s="34"/>
      <c r="NF47" s="46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80</v>
      </c>
      <c r="GD48" s="34" t="s">
        <v>80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>
        <v>9</v>
      </c>
      <c r="JW48" s="34">
        <v>9</v>
      </c>
      <c r="JX48" s="34">
        <v>9</v>
      </c>
      <c r="JY48" s="34">
        <v>9</v>
      </c>
      <c r="JZ48" s="34">
        <v>7</v>
      </c>
      <c r="KA48" s="46"/>
      <c r="KB48" s="34"/>
      <c r="KC48" s="34"/>
      <c r="KD48" s="46"/>
      <c r="KE48" s="49">
        <v>9</v>
      </c>
      <c r="KF48" s="34">
        <v>9</v>
      </c>
      <c r="KG48" s="34"/>
      <c r="KH48" s="34"/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>
        <v>9</v>
      </c>
      <c r="JW50" s="34">
        <v>9</v>
      </c>
      <c r="JX50" s="34">
        <v>9</v>
      </c>
      <c r="JY50" s="34">
        <v>9</v>
      </c>
      <c r="JZ50" s="34">
        <v>5</v>
      </c>
      <c r="KA50" s="46"/>
      <c r="KB50" s="34"/>
      <c r="KC50" s="34"/>
      <c r="KD50" s="46"/>
      <c r="KE50" s="49">
        <v>9</v>
      </c>
      <c r="KF50" s="34">
        <v>9</v>
      </c>
      <c r="KG50" s="34"/>
      <c r="KH50" s="34"/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>
        <v>9</v>
      </c>
      <c r="JW51" s="34">
        <v>9</v>
      </c>
      <c r="JX51" s="34">
        <v>9</v>
      </c>
      <c r="JY51" s="34">
        <v>9</v>
      </c>
      <c r="JZ51" s="34">
        <v>5</v>
      </c>
      <c r="KA51" s="46"/>
      <c r="KB51" s="34"/>
      <c r="KC51" s="34"/>
      <c r="KD51" s="46"/>
      <c r="KE51" s="49">
        <v>9</v>
      </c>
      <c r="KF51" s="34">
        <v>9</v>
      </c>
      <c r="KG51" s="34"/>
      <c r="KH51" s="34"/>
      <c r="KI51" s="34"/>
      <c r="KJ51" s="34"/>
      <c r="KK51" s="46"/>
      <c r="KL51" s="34"/>
      <c r="KM51" s="34"/>
      <c r="KN51" s="46"/>
      <c r="KO51" s="49"/>
      <c r="KP51" s="34"/>
      <c r="KQ51" s="34"/>
      <c r="KR51" s="34"/>
      <c r="KS51" s="34"/>
      <c r="KT51" s="34"/>
      <c r="KU51" s="46"/>
      <c r="KV51" s="34"/>
      <c r="KW51" s="34"/>
      <c r="KX51" s="46"/>
      <c r="KY51" s="49"/>
      <c r="KZ51" s="34"/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>
        <v>9</v>
      </c>
      <c r="JW52" s="34">
        <v>9</v>
      </c>
      <c r="JX52" s="34">
        <v>9</v>
      </c>
      <c r="JY52" s="34">
        <v>9</v>
      </c>
      <c r="JZ52" s="34">
        <v>7</v>
      </c>
      <c r="KA52" s="46"/>
      <c r="KB52" s="34"/>
      <c r="KC52" s="34"/>
      <c r="KD52" s="46"/>
      <c r="KE52" s="49">
        <v>9</v>
      </c>
      <c r="KF52" s="34">
        <v>9</v>
      </c>
      <c r="KG52" s="34"/>
      <c r="KH52" s="34"/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>
        <v>9</v>
      </c>
      <c r="JW53" s="34">
        <v>9</v>
      </c>
      <c r="JX53" s="34">
        <v>9</v>
      </c>
      <c r="JY53" s="34">
        <v>9</v>
      </c>
      <c r="JZ53" s="34">
        <v>7</v>
      </c>
      <c r="KA53" s="46"/>
      <c r="KB53" s="34"/>
      <c r="KC53" s="34"/>
      <c r="KD53" s="46"/>
      <c r="KE53" s="49">
        <v>9</v>
      </c>
      <c r="KF53" s="34">
        <v>9</v>
      </c>
      <c r="KG53" s="34"/>
      <c r="KH53" s="34"/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92</v>
      </c>
      <c r="FJ54" s="34" t="s">
        <v>92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88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88</v>
      </c>
      <c r="JB54" s="34" t="s">
        <v>88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>
        <v>9</v>
      </c>
      <c r="JW54" s="34">
        <v>9</v>
      </c>
      <c r="JX54" s="34">
        <v>9</v>
      </c>
      <c r="JY54" s="34" t="s">
        <v>236</v>
      </c>
      <c r="JZ54" s="34">
        <v>7</v>
      </c>
      <c r="KA54" s="46"/>
      <c r="KB54" s="34"/>
      <c r="KC54" s="34"/>
      <c r="KD54" s="46"/>
      <c r="KE54" s="49">
        <v>9</v>
      </c>
      <c r="KF54" s="34">
        <v>9</v>
      </c>
      <c r="KG54" s="34"/>
      <c r="KH54" s="34"/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237</v>
      </c>
      <c r="B55" s="54" t="s">
        <v>238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239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240</v>
      </c>
      <c r="HY55" s="58" t="s">
        <v>240</v>
      </c>
      <c r="HZ55" s="58" t="s">
        <v>240</v>
      </c>
      <c r="IA55" s="58" t="s">
        <v>240</v>
      </c>
      <c r="IB55" s="58" t="s">
        <v>240</v>
      </c>
      <c r="IC55" s="61"/>
      <c r="ID55" s="58"/>
      <c r="IE55" s="58"/>
      <c r="IF55" s="61"/>
      <c r="IG55" s="62" t="s">
        <v>240</v>
      </c>
      <c r="IH55" s="62" t="s">
        <v>240</v>
      </c>
      <c r="II55" s="62" t="s">
        <v>240</v>
      </c>
      <c r="IJ55" s="62" t="s">
        <v>240</v>
      </c>
      <c r="IK55" s="62" t="s">
        <v>240</v>
      </c>
      <c r="IL55" s="62" t="s">
        <v>240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241</v>
      </c>
      <c r="JP55" s="58" t="s">
        <v>241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242</v>
      </c>
      <c r="B56" s="43" t="s">
        <v>243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244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245</v>
      </c>
      <c r="B57" s="43" t="s">
        <v>246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247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93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80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80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80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80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>
        <v>9</v>
      </c>
      <c r="JW57" s="34">
        <v>9</v>
      </c>
      <c r="JX57" s="34">
        <v>9</v>
      </c>
      <c r="JY57" s="34">
        <v>9</v>
      </c>
      <c r="JZ57" s="34">
        <v>5</v>
      </c>
      <c r="KA57" s="46"/>
      <c r="KB57" s="34"/>
      <c r="KC57" s="34"/>
      <c r="KD57" s="46"/>
      <c r="KE57" s="49" t="s">
        <v>73</v>
      </c>
      <c r="KF57" s="34" t="s">
        <v>80</v>
      </c>
      <c r="KG57" s="34"/>
      <c r="KH57" s="34"/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248</v>
      </c>
      <c r="B58" s="43" t="s">
        <v>249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250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80</v>
      </c>
      <c r="GD58" s="34" t="s">
        <v>80</v>
      </c>
      <c r="GE58" s="46"/>
      <c r="GF58" s="34"/>
      <c r="GG58" s="34"/>
      <c r="GH58" s="46"/>
      <c r="GI58" s="49" t="s">
        <v>80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80</v>
      </c>
      <c r="IB58" s="34" t="s">
        <v>80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80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>
        <v>9</v>
      </c>
      <c r="JW58" s="34">
        <v>9</v>
      </c>
      <c r="JX58" s="34">
        <v>9</v>
      </c>
      <c r="JY58" s="34">
        <v>9</v>
      </c>
      <c r="JZ58" s="34">
        <v>5</v>
      </c>
      <c r="KA58" s="46"/>
      <c r="KB58" s="34"/>
      <c r="KC58" s="34"/>
      <c r="KD58" s="46"/>
      <c r="KE58" s="49">
        <v>9</v>
      </c>
      <c r="KF58" s="34">
        <v>9</v>
      </c>
      <c r="KG58" s="34"/>
      <c r="KH58" s="34"/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251</v>
      </c>
      <c r="B59" s="43" t="s">
        <v>252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253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>
        <v>9</v>
      </c>
      <c r="JW59" s="34">
        <v>9</v>
      </c>
      <c r="JX59" s="34">
        <v>9</v>
      </c>
      <c r="JY59" s="34">
        <v>9</v>
      </c>
      <c r="JZ59" s="34">
        <v>5</v>
      </c>
      <c r="KA59" s="46"/>
      <c r="KB59" s="34"/>
      <c r="KC59" s="34"/>
      <c r="KD59" s="46"/>
      <c r="KE59" s="49">
        <v>9</v>
      </c>
      <c r="KF59" s="34">
        <v>9</v>
      </c>
      <c r="KG59" s="34"/>
      <c r="KH59" s="34"/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254</v>
      </c>
      <c r="B60" s="43" t="s">
        <v>255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256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80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80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>
        <v>9</v>
      </c>
      <c r="JW60" s="34">
        <v>9</v>
      </c>
      <c r="JX60" s="34">
        <v>9</v>
      </c>
      <c r="JY60" s="34">
        <v>9</v>
      </c>
      <c r="JZ60" s="34">
        <v>5</v>
      </c>
      <c r="KA60" s="46"/>
      <c r="KB60" s="34"/>
      <c r="KC60" s="34"/>
      <c r="KD60" s="46"/>
      <c r="KE60" s="49">
        <v>9</v>
      </c>
      <c r="KF60" s="34" t="s">
        <v>88</v>
      </c>
      <c r="KG60" s="34"/>
      <c r="KH60" s="34"/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257</v>
      </c>
      <c r="B61" s="43" t="s">
        <v>258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259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260</v>
      </c>
      <c r="GA61" s="34" t="s">
        <v>261</v>
      </c>
      <c r="GB61" s="34" t="s">
        <v>261</v>
      </c>
      <c r="GC61" s="34">
        <v>9</v>
      </c>
      <c r="GD61" s="34">
        <v>9</v>
      </c>
      <c r="GE61" s="46"/>
      <c r="GF61" s="34"/>
      <c r="GG61" s="34"/>
      <c r="GH61" s="46"/>
      <c r="GI61" s="49" t="s">
        <v>80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80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80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>
        <v>9</v>
      </c>
      <c r="JW61" s="34">
        <v>9</v>
      </c>
      <c r="JX61" s="34">
        <v>9</v>
      </c>
      <c r="JY61" s="34">
        <v>9</v>
      </c>
      <c r="JZ61" s="34">
        <v>7</v>
      </c>
      <c r="KA61" s="46"/>
      <c r="KB61" s="34"/>
      <c r="KC61" s="34"/>
      <c r="KD61" s="46"/>
      <c r="KE61" s="49">
        <v>9</v>
      </c>
      <c r="KF61" s="34">
        <v>9</v>
      </c>
      <c r="KG61" s="34"/>
      <c r="KH61" s="34"/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262</v>
      </c>
      <c r="B62" s="43" t="s">
        <v>263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264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 t="s">
        <v>73</v>
      </c>
      <c r="JW62" s="34">
        <v>9</v>
      </c>
      <c r="JX62" s="34">
        <v>9</v>
      </c>
      <c r="JY62" s="34">
        <v>9</v>
      </c>
      <c r="JZ62" s="34">
        <v>5</v>
      </c>
      <c r="KA62" s="46"/>
      <c r="KB62" s="34"/>
      <c r="KC62" s="34"/>
      <c r="KD62" s="46"/>
      <c r="KE62" s="49">
        <v>9</v>
      </c>
      <c r="KF62" s="34">
        <v>9</v>
      </c>
      <c r="KG62" s="34"/>
      <c r="KH62" s="34"/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265</v>
      </c>
      <c r="B63" s="43" t="s">
        <v>266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267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80</v>
      </c>
      <c r="GC63" s="34" t="s">
        <v>80</v>
      </c>
      <c r="GD63" s="34" t="s">
        <v>80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80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80</v>
      </c>
      <c r="IL63" s="34" t="s">
        <v>80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80</v>
      </c>
      <c r="JQ63" s="46"/>
      <c r="JR63" s="34"/>
      <c r="JS63" s="34"/>
      <c r="JT63" s="46"/>
      <c r="JU63" s="49">
        <v>9</v>
      </c>
      <c r="JV63" s="34">
        <v>9</v>
      </c>
      <c r="JW63" s="34">
        <v>9</v>
      </c>
      <c r="JX63" s="34">
        <v>9</v>
      </c>
      <c r="JY63" s="34">
        <v>9</v>
      </c>
      <c r="JZ63" s="34" t="s">
        <v>80</v>
      </c>
      <c r="KA63" s="46"/>
      <c r="KB63" s="34"/>
      <c r="KC63" s="34"/>
      <c r="KD63" s="46"/>
      <c r="KE63" s="49">
        <v>9</v>
      </c>
      <c r="KF63" s="34">
        <v>9</v>
      </c>
      <c r="KG63" s="34"/>
      <c r="KH63" s="34"/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268</v>
      </c>
      <c r="B64" s="43" t="s">
        <v>269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270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80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80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80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>
        <v>9</v>
      </c>
      <c r="JW64" s="34">
        <v>9</v>
      </c>
      <c r="JX64" s="34">
        <v>9</v>
      </c>
      <c r="JY64" s="34" t="s">
        <v>80</v>
      </c>
      <c r="JZ64" s="34" t="s">
        <v>80</v>
      </c>
      <c r="KA64" s="46"/>
      <c r="KB64" s="34"/>
      <c r="KC64" s="34"/>
      <c r="KD64" s="46"/>
      <c r="KE64" s="49">
        <v>9</v>
      </c>
      <c r="KF64" s="34">
        <v>9</v>
      </c>
      <c r="KG64" s="34"/>
      <c r="KH64" s="34"/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271</v>
      </c>
      <c r="B65" s="43" t="s">
        <v>272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273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>
        <v>9</v>
      </c>
      <c r="JW65" s="34">
        <v>9</v>
      </c>
      <c r="JX65" s="34">
        <v>9</v>
      </c>
      <c r="JY65" s="34">
        <v>9</v>
      </c>
      <c r="JZ65" s="34">
        <v>7</v>
      </c>
      <c r="KA65" s="46"/>
      <c r="KB65" s="34"/>
      <c r="KC65" s="34"/>
      <c r="KD65" s="46"/>
      <c r="KE65" s="49">
        <v>9</v>
      </c>
      <c r="KF65" s="34">
        <v>9</v>
      </c>
      <c r="KG65" s="34"/>
      <c r="KH65" s="34"/>
      <c r="KI65" s="34"/>
      <c r="KJ65" s="34"/>
      <c r="KK65" s="46"/>
      <c r="KL65" s="34"/>
      <c r="KM65" s="34"/>
      <c r="KN65" s="46"/>
      <c r="KO65" s="49"/>
      <c r="KP65" s="34"/>
      <c r="KQ65" s="34"/>
      <c r="KR65" s="34"/>
      <c r="KS65" s="34"/>
      <c r="KT65" s="34"/>
      <c r="KU65" s="46"/>
      <c r="KV65" s="34"/>
      <c r="KW65" s="34"/>
      <c r="KX65" s="46"/>
      <c r="KY65" s="49"/>
      <c r="KZ65" s="34"/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274</v>
      </c>
      <c r="B66" s="43" t="s">
        <v>275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276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80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80</v>
      </c>
      <c r="IK66" s="34" t="s">
        <v>38</v>
      </c>
      <c r="IL66" s="34" t="s">
        <v>80</v>
      </c>
      <c r="IM66" s="46"/>
      <c r="IN66" s="34"/>
      <c r="IO66" s="34"/>
      <c r="IP66" s="46"/>
      <c r="IQ66" s="49" t="s">
        <v>80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80</v>
      </c>
      <c r="JF66" s="34"/>
      <c r="JG66" s="46"/>
      <c r="JH66" s="34"/>
      <c r="JI66" s="34"/>
      <c r="JJ66" s="46"/>
      <c r="JK66" s="49" t="s">
        <v>80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>
        <v>9</v>
      </c>
      <c r="JW66" s="34" t="s">
        <v>277</v>
      </c>
      <c r="JX66" s="34">
        <v>9</v>
      </c>
      <c r="JY66" s="34">
        <v>9</v>
      </c>
      <c r="JZ66" s="34">
        <v>5</v>
      </c>
      <c r="KA66" s="46"/>
      <c r="KB66" s="34"/>
      <c r="KC66" s="34"/>
      <c r="KD66" s="46"/>
      <c r="KE66" s="49" t="s">
        <v>88</v>
      </c>
      <c r="KF66" s="34">
        <v>9</v>
      </c>
      <c r="KG66" s="34"/>
      <c r="KH66" s="34"/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278</v>
      </c>
      <c r="B67" s="43" t="s">
        <v>279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280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80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80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>
        <v>9</v>
      </c>
      <c r="JW67" s="34">
        <v>9</v>
      </c>
      <c r="JX67" s="34">
        <v>9</v>
      </c>
      <c r="JY67" s="34">
        <v>9</v>
      </c>
      <c r="JZ67" s="34">
        <v>7</v>
      </c>
      <c r="KA67" s="46"/>
      <c r="KB67" s="34"/>
      <c r="KC67" s="34"/>
      <c r="KD67" s="46"/>
      <c r="KE67" s="49">
        <v>9</v>
      </c>
      <c r="KF67" s="34">
        <v>9</v>
      </c>
      <c r="KG67" s="34"/>
      <c r="KH67" s="34"/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281</v>
      </c>
      <c r="B68" s="43" t="s">
        <v>282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283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>
        <v>9</v>
      </c>
      <c r="JW68" s="34">
        <v>9</v>
      </c>
      <c r="JX68" s="34">
        <v>9</v>
      </c>
      <c r="JY68" s="34">
        <v>9</v>
      </c>
      <c r="JZ68" s="34">
        <v>5</v>
      </c>
      <c r="KA68" s="46"/>
      <c r="KB68" s="34"/>
      <c r="KC68" s="34"/>
      <c r="KD68" s="46"/>
      <c r="KE68" s="49">
        <v>9</v>
      </c>
      <c r="KF68" s="34">
        <v>9</v>
      </c>
      <c r="KG68" s="34"/>
      <c r="KH68" s="34"/>
      <c r="KI68" s="34"/>
      <c r="KJ68" s="34"/>
      <c r="KK68" s="46"/>
      <c r="KL68" s="34"/>
      <c r="KM68" s="34"/>
      <c r="KN68" s="46"/>
      <c r="KO68" s="49"/>
      <c r="KP68" s="34"/>
      <c r="KQ68" s="34"/>
      <c r="KR68" s="34"/>
      <c r="KS68" s="34"/>
      <c r="KT68" s="34"/>
      <c r="KU68" s="46"/>
      <c r="KV68" s="34"/>
      <c r="KW68" s="34"/>
      <c r="KX68" s="46"/>
      <c r="KY68" s="49"/>
      <c r="KZ68" s="34"/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284</v>
      </c>
      <c r="B69" s="43" t="s">
        <v>285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286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80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80</v>
      </c>
      <c r="JQ69" s="46"/>
      <c r="JR69" s="34"/>
      <c r="JS69" s="34"/>
      <c r="JT69" s="46"/>
      <c r="JU69" s="49">
        <v>9</v>
      </c>
      <c r="JV69" s="34">
        <v>9</v>
      </c>
      <c r="JW69" s="34">
        <v>9</v>
      </c>
      <c r="JX69" s="34">
        <v>9</v>
      </c>
      <c r="JY69" s="34">
        <v>9</v>
      </c>
      <c r="JZ69" s="34">
        <v>5</v>
      </c>
      <c r="KA69" s="46"/>
      <c r="KB69" s="34"/>
      <c r="KC69" s="34"/>
      <c r="KD69" s="46"/>
      <c r="KE69" s="49">
        <v>9</v>
      </c>
      <c r="KF69" s="34">
        <v>9</v>
      </c>
      <c r="KG69" s="34"/>
      <c r="KH69" s="34"/>
      <c r="KI69" s="34"/>
      <c r="KJ69" s="34"/>
      <c r="KK69" s="46"/>
      <c r="KL69" s="34"/>
      <c r="KM69" s="34"/>
      <c r="KN69" s="46"/>
      <c r="KO69" s="49"/>
      <c r="KP69" s="34"/>
      <c r="KQ69" s="34"/>
      <c r="KR69" s="34"/>
      <c r="KS69" s="34"/>
      <c r="KT69" s="34"/>
      <c r="KU69" s="46"/>
      <c r="KV69" s="34"/>
      <c r="KW69" s="34"/>
      <c r="KX69" s="46"/>
      <c r="KY69" s="49"/>
      <c r="KZ69" s="34"/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287</v>
      </c>
      <c r="B70" s="43" t="s">
        <v>288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289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92</v>
      </c>
      <c r="FZ70" s="34"/>
      <c r="GA70" s="34" t="s">
        <v>37</v>
      </c>
      <c r="GB70" s="34" t="s">
        <v>80</v>
      </c>
      <c r="GC70" s="34" t="s">
        <v>290</v>
      </c>
      <c r="GD70" s="34" t="s">
        <v>88</v>
      </c>
      <c r="GE70" s="46"/>
      <c r="GF70" s="34"/>
      <c r="GG70" s="34"/>
      <c r="GH70" s="46"/>
      <c r="GI70" s="49" t="s">
        <v>80</v>
      </c>
      <c r="GJ70" s="34" t="s">
        <v>88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80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 t="s">
        <v>88</v>
      </c>
      <c r="JW70" s="34">
        <v>9</v>
      </c>
      <c r="JX70" s="34">
        <v>9</v>
      </c>
      <c r="JY70" s="34">
        <v>9</v>
      </c>
      <c r="JZ70" s="34">
        <v>5</v>
      </c>
      <c r="KA70" s="46"/>
      <c r="KB70" s="34"/>
      <c r="KC70" s="34"/>
      <c r="KD70" s="46"/>
      <c r="KE70" s="49">
        <v>9</v>
      </c>
      <c r="KF70" s="34">
        <v>9</v>
      </c>
      <c r="KG70" s="34"/>
      <c r="KH70" s="34"/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291</v>
      </c>
      <c r="B71" s="43" t="s">
        <v>292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293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>
        <v>9</v>
      </c>
      <c r="JW71" s="34">
        <v>9</v>
      </c>
      <c r="JX71" s="34">
        <v>9</v>
      </c>
      <c r="JY71" s="34">
        <v>9</v>
      </c>
      <c r="JZ71" s="34">
        <v>7</v>
      </c>
      <c r="KA71" s="46"/>
      <c r="KB71" s="34"/>
      <c r="KC71" s="34"/>
      <c r="KD71" s="46"/>
      <c r="KE71" s="49">
        <v>9</v>
      </c>
      <c r="KF71" s="34">
        <v>9</v>
      </c>
      <c r="KG71" s="34"/>
      <c r="KH71" s="34"/>
      <c r="KI71" s="34"/>
      <c r="KJ71" s="34"/>
      <c r="KK71" s="46"/>
      <c r="KL71" s="34"/>
      <c r="KM71" s="34"/>
      <c r="KN71" s="46"/>
      <c r="KO71" s="49"/>
      <c r="KP71" s="34"/>
      <c r="KQ71" s="34"/>
      <c r="KR71" s="34"/>
      <c r="KS71" s="34"/>
      <c r="KT71" s="34"/>
      <c r="KU71" s="46"/>
      <c r="KV71" s="34"/>
      <c r="KW71" s="34"/>
      <c r="KX71" s="46"/>
      <c r="KY71" s="49"/>
      <c r="KZ71" s="34"/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294</v>
      </c>
      <c r="B72" s="43" t="s">
        <v>295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296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80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80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>
        <v>9</v>
      </c>
      <c r="JW72" s="34">
        <v>9</v>
      </c>
      <c r="JX72" s="34">
        <v>9</v>
      </c>
      <c r="JY72" s="34">
        <v>9</v>
      </c>
      <c r="JZ72" s="34">
        <v>7</v>
      </c>
      <c r="KA72" s="46"/>
      <c r="KB72" s="34"/>
      <c r="KC72" s="34"/>
      <c r="KD72" s="46"/>
      <c r="KE72" s="49">
        <v>9</v>
      </c>
      <c r="KF72" s="34">
        <v>9</v>
      </c>
      <c r="KG72" s="34"/>
      <c r="KH72" s="34"/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297</v>
      </c>
      <c r="B73" s="54" t="s">
        <v>298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299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80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88</v>
      </c>
      <c r="JE73" s="58" t="s">
        <v>88</v>
      </c>
      <c r="JF73" s="58" t="s">
        <v>88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>
        <v>9</v>
      </c>
      <c r="JW73" s="58">
        <v>9</v>
      </c>
      <c r="JX73" s="58">
        <v>9</v>
      </c>
      <c r="JY73" s="58">
        <v>9</v>
      </c>
      <c r="JZ73" s="58">
        <v>5</v>
      </c>
      <c r="KA73" s="61"/>
      <c r="KB73" s="58"/>
      <c r="KC73" s="58"/>
      <c r="KD73" s="61"/>
      <c r="KE73" s="62">
        <v>9</v>
      </c>
      <c r="KF73" s="58">
        <v>9</v>
      </c>
      <c r="KG73" s="58"/>
      <c r="KH73" s="58"/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300</v>
      </c>
      <c r="B74" s="43" t="s">
        <v>301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302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303</v>
      </c>
      <c r="B75" s="43" t="s">
        <v>304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305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80</v>
      </c>
      <c r="GC75" s="34" t="s">
        <v>80</v>
      </c>
      <c r="GD75" s="34" t="s">
        <v>80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>
        <v>9</v>
      </c>
      <c r="JW75" s="34">
        <v>9</v>
      </c>
      <c r="JX75" s="34">
        <v>9</v>
      </c>
      <c r="JY75" s="34">
        <v>9</v>
      </c>
      <c r="JZ75" s="34">
        <v>7</v>
      </c>
      <c r="KA75" s="46"/>
      <c r="KB75" s="34"/>
      <c r="KC75" s="34"/>
      <c r="KD75" s="46"/>
      <c r="KE75" s="49">
        <v>9</v>
      </c>
      <c r="KF75" s="34">
        <v>9</v>
      </c>
      <c r="KG75" s="34"/>
      <c r="KH75" s="34"/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306</v>
      </c>
      <c r="B76" s="43" t="s">
        <v>307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308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80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309</v>
      </c>
      <c r="B77" s="43" t="s">
        <v>310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311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104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312</v>
      </c>
      <c r="GE77" s="46"/>
      <c r="GF77" s="34"/>
      <c r="GG77" s="34"/>
      <c r="GH77" s="46"/>
      <c r="GI77" s="49" t="s">
        <v>88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>
        <v>9</v>
      </c>
      <c r="JW77" s="34">
        <v>9</v>
      </c>
      <c r="JX77" s="34">
        <v>9</v>
      </c>
      <c r="JY77" s="34">
        <v>9</v>
      </c>
      <c r="JZ77" s="34">
        <v>5</v>
      </c>
      <c r="KA77" s="46"/>
      <c r="KB77" s="34"/>
      <c r="KC77" s="34"/>
      <c r="KD77" s="46"/>
      <c r="KE77" s="49">
        <v>9</v>
      </c>
      <c r="KF77" s="34">
        <v>9</v>
      </c>
      <c r="KG77" s="34"/>
      <c r="KH77" s="34"/>
      <c r="KI77" s="34"/>
      <c r="KJ77" s="34"/>
      <c r="KK77" s="46"/>
      <c r="KL77" s="34"/>
      <c r="KM77" s="34"/>
      <c r="KN77" s="46"/>
      <c r="KO77" s="49"/>
      <c r="KP77" s="34"/>
      <c r="KQ77" s="34"/>
      <c r="KR77" s="34"/>
      <c r="KS77" s="34"/>
      <c r="KT77" s="34"/>
      <c r="KU77" s="46"/>
      <c r="KV77" s="34"/>
      <c r="KW77" s="34"/>
      <c r="KX77" s="46"/>
      <c r="KY77" s="49"/>
      <c r="KZ77" s="34"/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313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314</v>
      </c>
      <c r="J78" s="42" t="s">
        <v>100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315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316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278</v>
      </c>
      <c r="B80" s="43" t="s">
        <v>317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318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319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320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321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322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323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324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325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326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327</v>
      </c>
      <c r="B85" s="43" t="s">
        <v>328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329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330</v>
      </c>
      <c r="B86" s="43" t="s">
        <v>331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332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333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334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335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336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337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338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339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340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341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342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343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344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345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346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347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348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349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350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351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352</v>
      </c>
      <c r="J96" s="42" t="s">
        <v>100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353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354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355</v>
      </c>
      <c r="B98" s="43" t="s">
        <v>356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357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358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359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360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361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362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363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364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365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366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367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368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369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370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371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372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373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313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314</v>
      </c>
      <c r="J107" s="42" t="s">
        <v>100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278</v>
      </c>
      <c r="B108" s="43" t="s">
        <v>317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318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319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320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321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322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323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324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325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326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327</v>
      </c>
      <c r="B113" s="43" t="s">
        <v>328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329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330</v>
      </c>
      <c r="B114" s="43" t="s">
        <v>331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332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333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334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335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336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337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338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339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340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341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342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343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344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345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346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347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348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349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350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351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352</v>
      </c>
      <c r="J124" s="42" t="s">
        <v>100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353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354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355</v>
      </c>
      <c r="B126" s="43" t="s">
        <v>356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357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358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359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360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361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362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363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364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365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366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367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368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369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370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371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372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373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313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314</v>
      </c>
      <c r="J135" s="42" t="s">
        <v>100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92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374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375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278</v>
      </c>
      <c r="B137" s="43" t="s">
        <v>317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318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319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320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323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324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325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326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327</v>
      </c>
      <c r="B141" s="43" t="s">
        <v>328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329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80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330</v>
      </c>
      <c r="B142" s="43" t="s">
        <v>331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332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80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362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363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333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376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335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336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80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337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338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339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340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341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342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343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344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345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346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347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348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349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350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351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352</v>
      </c>
      <c r="J153" s="42" t="s">
        <v>100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353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354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355</v>
      </c>
      <c r="B155" s="43" t="s">
        <v>356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357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358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359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360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361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364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365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366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367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368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369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370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371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377</v>
      </c>
      <c r="B162" s="82" t="s">
        <v>378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379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>
        <v>9</v>
      </c>
      <c r="JW162" s="34">
        <v>9</v>
      </c>
      <c r="JX162" s="34">
        <v>9</v>
      </c>
      <c r="JY162" s="34">
        <v>9</v>
      </c>
      <c r="JZ162" s="34">
        <v>5</v>
      </c>
      <c r="KA162" s="46"/>
      <c r="KB162" s="34"/>
      <c r="KC162" s="34"/>
      <c r="KD162" s="46"/>
      <c r="KE162" s="49">
        <v>9</v>
      </c>
      <c r="KF162" s="34">
        <v>9</v>
      </c>
      <c r="KG162" s="34"/>
      <c r="KH162" s="34"/>
      <c r="KI162" s="34"/>
      <c r="KJ162" s="34"/>
      <c r="KK162" s="46"/>
      <c r="KL162" s="34"/>
      <c r="KM162" s="34"/>
      <c r="KN162" s="46"/>
      <c r="KO162" s="49"/>
      <c r="KP162" s="34"/>
      <c r="KQ162" s="34"/>
      <c r="KR162" s="34"/>
      <c r="KS162" s="34"/>
      <c r="KT162" s="34"/>
      <c r="KU162" s="46"/>
      <c r="KV162" s="34"/>
      <c r="KW162" s="34"/>
      <c r="KX162" s="46"/>
      <c r="KY162" s="49"/>
      <c r="KZ162" s="34"/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380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381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382</v>
      </c>
      <c r="B164" s="43" t="s">
        <v>383</v>
      </c>
      <c r="I164" t="s">
        <v>384</v>
      </c>
      <c r="HY164" t="s">
        <v>385</v>
      </c>
      <c r="HZ164" t="s">
        <v>385</v>
      </c>
      <c r="IA164" t="s">
        <v>385</v>
      </c>
      <c r="IB164" t="s">
        <v>385</v>
      </c>
      <c r="IC164" t="s">
        <v>385</v>
      </c>
      <c r="ID164" t="s">
        <v>385</v>
      </c>
      <c r="IE164" t="s">
        <v>385</v>
      </c>
      <c r="IF164" t="s">
        <v>385</v>
      </c>
      <c r="IG164" t="s">
        <v>385</v>
      </c>
      <c r="IH164" t="s">
        <v>385</v>
      </c>
      <c r="II164" t="s">
        <v>385</v>
      </c>
      <c r="IJ164" t="s">
        <v>385</v>
      </c>
      <c r="IK164" t="s">
        <v>385</v>
      </c>
      <c r="IL164" t="s">
        <v>385</v>
      </c>
      <c r="IM164" t="s">
        <v>385</v>
      </c>
      <c r="IN164" t="s">
        <v>385</v>
      </c>
      <c r="IO164" t="s">
        <v>385</v>
      </c>
      <c r="IP164" t="s">
        <v>385</v>
      </c>
      <c r="IQ164" t="s">
        <v>385</v>
      </c>
      <c r="IR164" t="s">
        <v>385</v>
      </c>
      <c r="IS164" t="s">
        <v>385</v>
      </c>
      <c r="IT164" t="s">
        <v>385</v>
      </c>
      <c r="IU164" t="s">
        <v>385</v>
      </c>
      <c r="IV164" t="s">
        <v>385</v>
      </c>
      <c r="IW164" t="s">
        <v>385</v>
      </c>
      <c r="IX164" t="s">
        <v>385</v>
      </c>
      <c r="IY164" t="s">
        <v>385</v>
      </c>
      <c r="IZ164" t="s">
        <v>385</v>
      </c>
      <c r="JA164" t="s">
        <v>385</v>
      </c>
      <c r="JB164" t="s">
        <v>385</v>
      </c>
      <c r="JC164" t="s">
        <v>385</v>
      </c>
      <c r="JD164" t="s">
        <v>385</v>
      </c>
      <c r="JE164" t="s">
        <v>385</v>
      </c>
      <c r="JF164" t="s">
        <v>385</v>
      </c>
      <c r="JG164" t="s">
        <v>385</v>
      </c>
      <c r="JH164" t="s">
        <v>385</v>
      </c>
      <c r="JI164" t="s">
        <v>385</v>
      </c>
      <c r="JJ164" t="s">
        <v>385</v>
      </c>
      <c r="JK164" t="s">
        <v>385</v>
      </c>
      <c r="JN164" t="s">
        <v>385</v>
      </c>
    </row>
    <row r="165" spans="1:274" x14ac:dyDescent="0.25">
      <c r="A165" s="42" t="s">
        <v>386</v>
      </c>
      <c r="B165" s="43" t="s">
        <v>387</v>
      </c>
      <c r="I165" t="s">
        <v>388</v>
      </c>
      <c r="HY165" t="s">
        <v>385</v>
      </c>
      <c r="HZ165" t="s">
        <v>385</v>
      </c>
      <c r="IA165" t="s">
        <v>385</v>
      </c>
      <c r="IB165" t="s">
        <v>385</v>
      </c>
      <c r="IC165" t="s">
        <v>385</v>
      </c>
      <c r="ID165" t="s">
        <v>385</v>
      </c>
      <c r="IE165" t="s">
        <v>385</v>
      </c>
      <c r="IF165" t="s">
        <v>385</v>
      </c>
      <c r="IG165" t="s">
        <v>385</v>
      </c>
      <c r="IH165" t="s">
        <v>385</v>
      </c>
      <c r="II165" t="s">
        <v>385</v>
      </c>
      <c r="IJ165" t="s">
        <v>385</v>
      </c>
      <c r="IK165" t="s">
        <v>385</v>
      </c>
      <c r="IL165" t="s">
        <v>385</v>
      </c>
      <c r="IM165" t="s">
        <v>385</v>
      </c>
      <c r="IN165" t="s">
        <v>385</v>
      </c>
      <c r="IO165" t="s">
        <v>385</v>
      </c>
      <c r="IP165" t="s">
        <v>385</v>
      </c>
      <c r="IQ165" t="s">
        <v>385</v>
      </c>
      <c r="IR165" t="s">
        <v>385</v>
      </c>
      <c r="IS165" t="s">
        <v>385</v>
      </c>
      <c r="IT165" t="s">
        <v>385</v>
      </c>
      <c r="IU165" t="s">
        <v>385</v>
      </c>
      <c r="IV165" t="s">
        <v>385</v>
      </c>
      <c r="IW165" t="s">
        <v>385</v>
      </c>
      <c r="IX165" t="s">
        <v>385</v>
      </c>
      <c r="IY165" t="s">
        <v>385</v>
      </c>
      <c r="IZ165" t="s">
        <v>385</v>
      </c>
      <c r="JA165" t="s">
        <v>385</v>
      </c>
      <c r="JB165" t="s">
        <v>385</v>
      </c>
      <c r="JC165" t="s">
        <v>385</v>
      </c>
      <c r="JD165" t="s">
        <v>385</v>
      </c>
      <c r="JE165" t="s">
        <v>385</v>
      </c>
      <c r="JF165" t="s">
        <v>385</v>
      </c>
      <c r="JG165" t="s">
        <v>385</v>
      </c>
      <c r="JH165" t="s">
        <v>385</v>
      </c>
      <c r="JI165" t="s">
        <v>385</v>
      </c>
      <c r="JJ165" t="s">
        <v>385</v>
      </c>
      <c r="JK165" t="s">
        <v>385</v>
      </c>
      <c r="JN165" t="s">
        <v>385</v>
      </c>
    </row>
    <row r="166" spans="1:274" x14ac:dyDescent="0.25">
      <c r="A166" s="42" t="s">
        <v>389</v>
      </c>
      <c r="B166" s="43" t="s">
        <v>390</v>
      </c>
      <c r="I166" t="s">
        <v>391</v>
      </c>
      <c r="HY166" t="s">
        <v>385</v>
      </c>
      <c r="HZ166" t="s">
        <v>385</v>
      </c>
      <c r="IA166" t="s">
        <v>385</v>
      </c>
      <c r="IB166" t="s">
        <v>385</v>
      </c>
      <c r="IC166" t="s">
        <v>385</v>
      </c>
      <c r="ID166" t="s">
        <v>385</v>
      </c>
      <c r="IE166" t="s">
        <v>385</v>
      </c>
      <c r="IF166" t="s">
        <v>385</v>
      </c>
      <c r="IG166" t="s">
        <v>385</v>
      </c>
      <c r="IH166" t="s">
        <v>385</v>
      </c>
      <c r="II166" t="s">
        <v>385</v>
      </c>
      <c r="IJ166" t="s">
        <v>385</v>
      </c>
      <c r="IK166" t="s">
        <v>385</v>
      </c>
      <c r="IL166" t="s">
        <v>385</v>
      </c>
      <c r="IM166" t="s">
        <v>385</v>
      </c>
      <c r="IN166" t="s">
        <v>385</v>
      </c>
      <c r="IO166" t="s">
        <v>385</v>
      </c>
      <c r="IP166" t="s">
        <v>385</v>
      </c>
      <c r="IQ166" t="s">
        <v>385</v>
      </c>
      <c r="IR166" t="s">
        <v>385</v>
      </c>
      <c r="IS166" t="s">
        <v>385</v>
      </c>
      <c r="IT166" t="s">
        <v>385</v>
      </c>
      <c r="IU166" t="s">
        <v>385</v>
      </c>
      <c r="IV166" t="s">
        <v>385</v>
      </c>
      <c r="IW166" t="s">
        <v>385</v>
      </c>
      <c r="IX166" t="s">
        <v>385</v>
      </c>
      <c r="IY166" t="s">
        <v>385</v>
      </c>
      <c r="IZ166" t="s">
        <v>385</v>
      </c>
      <c r="JA166" t="s">
        <v>385</v>
      </c>
      <c r="JB166" t="s">
        <v>385</v>
      </c>
      <c r="JC166" t="s">
        <v>385</v>
      </c>
      <c r="JD166" t="s">
        <v>385</v>
      </c>
      <c r="JE166" t="s">
        <v>385</v>
      </c>
      <c r="JF166" t="s">
        <v>385</v>
      </c>
      <c r="JG166" t="s">
        <v>385</v>
      </c>
      <c r="JH166" t="s">
        <v>385</v>
      </c>
      <c r="JI166" t="s">
        <v>385</v>
      </c>
      <c r="JJ166" t="s">
        <v>385</v>
      </c>
      <c r="JK166" t="s">
        <v>385</v>
      </c>
      <c r="JN166" t="s">
        <v>385</v>
      </c>
    </row>
    <row r="167" spans="1:274" x14ac:dyDescent="0.25">
      <c r="A167" s="42" t="s">
        <v>392</v>
      </c>
      <c r="B167" s="43" t="s">
        <v>393</v>
      </c>
      <c r="I167" t="s">
        <v>394</v>
      </c>
      <c r="HY167" t="s">
        <v>385</v>
      </c>
      <c r="HZ167" t="s">
        <v>385</v>
      </c>
      <c r="IA167" t="s">
        <v>385</v>
      </c>
      <c r="IB167" t="s">
        <v>385</v>
      </c>
      <c r="IC167" t="s">
        <v>385</v>
      </c>
      <c r="ID167" t="s">
        <v>385</v>
      </c>
      <c r="IE167" t="s">
        <v>385</v>
      </c>
      <c r="IF167" t="s">
        <v>385</v>
      </c>
      <c r="IG167" t="s">
        <v>385</v>
      </c>
      <c r="IH167" t="s">
        <v>385</v>
      </c>
      <c r="II167" t="s">
        <v>385</v>
      </c>
      <c r="IJ167" t="s">
        <v>385</v>
      </c>
      <c r="IK167" t="s">
        <v>385</v>
      </c>
      <c r="IL167" t="s">
        <v>385</v>
      </c>
      <c r="IM167" t="s">
        <v>385</v>
      </c>
      <c r="IN167" t="s">
        <v>385</v>
      </c>
      <c r="IO167" t="s">
        <v>385</v>
      </c>
      <c r="IP167" t="s">
        <v>385</v>
      </c>
      <c r="IQ167" t="s">
        <v>385</v>
      </c>
      <c r="IR167" t="s">
        <v>385</v>
      </c>
      <c r="IS167" t="s">
        <v>385</v>
      </c>
      <c r="IT167" t="s">
        <v>385</v>
      </c>
      <c r="IU167" t="s">
        <v>385</v>
      </c>
      <c r="IV167" t="s">
        <v>385</v>
      </c>
      <c r="IW167" t="s">
        <v>385</v>
      </c>
      <c r="IX167" t="s">
        <v>385</v>
      </c>
      <c r="IY167" t="s">
        <v>385</v>
      </c>
      <c r="IZ167" t="s">
        <v>385</v>
      </c>
      <c r="JA167" t="s">
        <v>385</v>
      </c>
      <c r="JB167" t="s">
        <v>385</v>
      </c>
      <c r="JC167" t="s">
        <v>385</v>
      </c>
      <c r="JD167" t="s">
        <v>385</v>
      </c>
      <c r="JE167" t="s">
        <v>385</v>
      </c>
      <c r="JF167" t="s">
        <v>385</v>
      </c>
      <c r="JG167" t="s">
        <v>385</v>
      </c>
      <c r="JH167" t="s">
        <v>385</v>
      </c>
      <c r="JI167" t="s">
        <v>385</v>
      </c>
      <c r="JJ167" t="s">
        <v>385</v>
      </c>
      <c r="JK167" t="s">
        <v>385</v>
      </c>
      <c r="JN167" t="s">
        <v>385</v>
      </c>
    </row>
    <row r="168" spans="1:274" x14ac:dyDescent="0.25">
      <c r="A168" s="42" t="s">
        <v>395</v>
      </c>
      <c r="B168" s="43" t="s">
        <v>396</v>
      </c>
      <c r="I168" t="s">
        <v>397</v>
      </c>
      <c r="HY168" t="s">
        <v>385</v>
      </c>
      <c r="HZ168" t="s">
        <v>385</v>
      </c>
      <c r="IA168" t="s">
        <v>385</v>
      </c>
      <c r="IB168" t="s">
        <v>385</v>
      </c>
      <c r="IC168" t="s">
        <v>385</v>
      </c>
      <c r="ID168" t="s">
        <v>385</v>
      </c>
      <c r="IE168" t="s">
        <v>385</v>
      </c>
      <c r="IF168" t="s">
        <v>385</v>
      </c>
      <c r="IG168" t="s">
        <v>385</v>
      </c>
      <c r="IH168" t="s">
        <v>385</v>
      </c>
      <c r="II168" t="s">
        <v>385</v>
      </c>
      <c r="IJ168" t="s">
        <v>385</v>
      </c>
      <c r="IK168" t="s">
        <v>385</v>
      </c>
      <c r="IL168" t="s">
        <v>385</v>
      </c>
      <c r="IM168" t="s">
        <v>385</v>
      </c>
      <c r="IN168" t="s">
        <v>385</v>
      </c>
      <c r="IO168" t="s">
        <v>385</v>
      </c>
      <c r="IP168" t="s">
        <v>385</v>
      </c>
      <c r="IQ168" t="s">
        <v>385</v>
      </c>
      <c r="IR168" t="s">
        <v>385</v>
      </c>
      <c r="IS168" t="s">
        <v>385</v>
      </c>
      <c r="IT168" t="s">
        <v>385</v>
      </c>
      <c r="IU168" t="s">
        <v>385</v>
      </c>
      <c r="IV168" t="s">
        <v>385</v>
      </c>
      <c r="IW168" t="s">
        <v>385</v>
      </c>
      <c r="IX168" t="s">
        <v>385</v>
      </c>
      <c r="IY168" t="s">
        <v>385</v>
      </c>
      <c r="IZ168" t="s">
        <v>385</v>
      </c>
      <c r="JA168" t="s">
        <v>385</v>
      </c>
      <c r="JB168" t="s">
        <v>385</v>
      </c>
      <c r="JC168" t="s">
        <v>385</v>
      </c>
      <c r="JD168" t="s">
        <v>385</v>
      </c>
      <c r="JE168" t="s">
        <v>385</v>
      </c>
      <c r="JF168" t="s">
        <v>385</v>
      </c>
      <c r="JG168" t="s">
        <v>385</v>
      </c>
      <c r="JH168" t="s">
        <v>385</v>
      </c>
      <c r="JI168" t="s">
        <v>385</v>
      </c>
      <c r="JJ168" t="s">
        <v>385</v>
      </c>
      <c r="JK168" t="s">
        <v>385</v>
      </c>
      <c r="JN168" t="s">
        <v>385</v>
      </c>
    </row>
    <row r="169" spans="1:274" x14ac:dyDescent="0.25">
      <c r="A169" s="42" t="s">
        <v>398</v>
      </c>
      <c r="B169" s="43" t="s">
        <v>399</v>
      </c>
      <c r="I169" t="s">
        <v>400</v>
      </c>
      <c r="HY169" t="s">
        <v>385</v>
      </c>
      <c r="HZ169" t="s">
        <v>385</v>
      </c>
      <c r="IA169" t="s">
        <v>385</v>
      </c>
      <c r="IB169" t="s">
        <v>385</v>
      </c>
      <c r="IC169" t="s">
        <v>385</v>
      </c>
      <c r="ID169" t="s">
        <v>385</v>
      </c>
      <c r="IE169" t="s">
        <v>385</v>
      </c>
      <c r="IF169" t="s">
        <v>385</v>
      </c>
      <c r="IG169" t="s">
        <v>385</v>
      </c>
      <c r="IH169" t="s">
        <v>385</v>
      </c>
      <c r="II169" t="s">
        <v>385</v>
      </c>
      <c r="IJ169" t="s">
        <v>385</v>
      </c>
      <c r="IK169" t="s">
        <v>385</v>
      </c>
      <c r="IL169" t="s">
        <v>385</v>
      </c>
      <c r="IM169" t="s">
        <v>385</v>
      </c>
      <c r="IN169" t="s">
        <v>385</v>
      </c>
      <c r="IO169" t="s">
        <v>385</v>
      </c>
      <c r="IP169" t="s">
        <v>385</v>
      </c>
      <c r="IQ169" t="s">
        <v>385</v>
      </c>
      <c r="IR169" t="s">
        <v>385</v>
      </c>
      <c r="IS169" t="s">
        <v>385</v>
      </c>
      <c r="IT169" t="s">
        <v>385</v>
      </c>
      <c r="IU169" t="s">
        <v>385</v>
      </c>
      <c r="IV169" t="s">
        <v>385</v>
      </c>
      <c r="IW169" t="s">
        <v>385</v>
      </c>
      <c r="IX169" t="s">
        <v>385</v>
      </c>
      <c r="IY169" t="s">
        <v>385</v>
      </c>
      <c r="IZ169" t="s">
        <v>385</v>
      </c>
      <c r="JA169" t="s">
        <v>385</v>
      </c>
      <c r="JB169" t="s">
        <v>385</v>
      </c>
      <c r="JC169" t="s">
        <v>385</v>
      </c>
      <c r="JD169" t="s">
        <v>385</v>
      </c>
      <c r="JE169" t="s">
        <v>385</v>
      </c>
      <c r="JF169" t="s">
        <v>385</v>
      </c>
      <c r="JG169" t="s">
        <v>385</v>
      </c>
      <c r="JH169" t="s">
        <v>385</v>
      </c>
      <c r="JI169" t="s">
        <v>385</v>
      </c>
      <c r="JJ169" t="s">
        <v>385</v>
      </c>
      <c r="JK169" t="s">
        <v>385</v>
      </c>
      <c r="JN169" t="s">
        <v>385</v>
      </c>
    </row>
    <row r="170" spans="1:274" x14ac:dyDescent="0.25">
      <c r="A170" s="42" t="s">
        <v>401</v>
      </c>
      <c r="B170" s="43" t="s">
        <v>402</v>
      </c>
      <c r="I170" t="s">
        <v>403</v>
      </c>
      <c r="HY170" t="s">
        <v>385</v>
      </c>
      <c r="HZ170" t="s">
        <v>385</v>
      </c>
      <c r="IA170" t="s">
        <v>385</v>
      </c>
      <c r="IB170" t="s">
        <v>385</v>
      </c>
      <c r="IC170" t="s">
        <v>385</v>
      </c>
      <c r="ID170" t="s">
        <v>385</v>
      </c>
      <c r="IE170" t="s">
        <v>385</v>
      </c>
      <c r="IF170" t="s">
        <v>385</v>
      </c>
      <c r="IG170" t="s">
        <v>385</v>
      </c>
      <c r="IH170" t="s">
        <v>385</v>
      </c>
      <c r="II170" t="s">
        <v>385</v>
      </c>
      <c r="IJ170" t="s">
        <v>385</v>
      </c>
      <c r="IK170" t="s">
        <v>385</v>
      </c>
      <c r="IL170" t="s">
        <v>385</v>
      </c>
      <c r="IM170" t="s">
        <v>385</v>
      </c>
      <c r="IN170" t="s">
        <v>385</v>
      </c>
      <c r="IO170" t="s">
        <v>385</v>
      </c>
      <c r="IP170" t="s">
        <v>385</v>
      </c>
      <c r="IQ170" t="s">
        <v>385</v>
      </c>
      <c r="IR170" t="s">
        <v>385</v>
      </c>
      <c r="IS170" t="s">
        <v>385</v>
      </c>
      <c r="IT170" t="s">
        <v>385</v>
      </c>
      <c r="IU170" t="s">
        <v>385</v>
      </c>
      <c r="IV170" t="s">
        <v>385</v>
      </c>
      <c r="IW170" t="s">
        <v>385</v>
      </c>
      <c r="IX170" t="s">
        <v>385</v>
      </c>
      <c r="IY170" t="s">
        <v>385</v>
      </c>
      <c r="IZ170" t="s">
        <v>385</v>
      </c>
      <c r="JA170" t="s">
        <v>385</v>
      </c>
      <c r="JB170" t="s">
        <v>385</v>
      </c>
      <c r="JC170" t="s">
        <v>385</v>
      </c>
      <c r="JD170" t="s">
        <v>385</v>
      </c>
      <c r="JE170" t="s">
        <v>385</v>
      </c>
      <c r="JF170" t="s">
        <v>385</v>
      </c>
      <c r="JG170" t="s">
        <v>385</v>
      </c>
      <c r="JH170" t="s">
        <v>385</v>
      </c>
      <c r="JI170" t="s">
        <v>385</v>
      </c>
      <c r="JJ170" t="s">
        <v>385</v>
      </c>
      <c r="JK170" t="s">
        <v>385</v>
      </c>
      <c r="JN170" t="s">
        <v>385</v>
      </c>
    </row>
    <row r="171" spans="1:274" x14ac:dyDescent="0.25">
      <c r="A171" s="42" t="s">
        <v>404</v>
      </c>
      <c r="B171" s="43" t="s">
        <v>405</v>
      </c>
      <c r="I171" t="s">
        <v>406</v>
      </c>
      <c r="HY171" t="s">
        <v>385</v>
      </c>
      <c r="HZ171" t="s">
        <v>385</v>
      </c>
      <c r="IA171" t="s">
        <v>385</v>
      </c>
      <c r="IB171" t="s">
        <v>385</v>
      </c>
      <c r="IC171" t="s">
        <v>385</v>
      </c>
      <c r="ID171" t="s">
        <v>385</v>
      </c>
      <c r="IE171" t="s">
        <v>385</v>
      </c>
      <c r="IF171" t="s">
        <v>385</v>
      </c>
      <c r="IG171" t="s">
        <v>385</v>
      </c>
      <c r="IH171" t="s">
        <v>385</v>
      </c>
      <c r="II171" t="s">
        <v>385</v>
      </c>
      <c r="IJ171" t="s">
        <v>385</v>
      </c>
      <c r="IK171" t="s">
        <v>385</v>
      </c>
      <c r="IL171" t="s">
        <v>385</v>
      </c>
      <c r="IM171" t="s">
        <v>385</v>
      </c>
      <c r="IN171" t="s">
        <v>385</v>
      </c>
      <c r="IO171" t="s">
        <v>385</v>
      </c>
      <c r="IP171" t="s">
        <v>385</v>
      </c>
      <c r="IQ171" t="s">
        <v>385</v>
      </c>
      <c r="IR171" t="s">
        <v>385</v>
      </c>
      <c r="IS171" t="s">
        <v>385</v>
      </c>
      <c r="IT171" t="s">
        <v>385</v>
      </c>
      <c r="IU171" t="s">
        <v>385</v>
      </c>
      <c r="IV171" t="s">
        <v>385</v>
      </c>
      <c r="IW171" t="s">
        <v>385</v>
      </c>
      <c r="IX171" t="s">
        <v>385</v>
      </c>
      <c r="IY171" t="s">
        <v>385</v>
      </c>
      <c r="IZ171" t="s">
        <v>385</v>
      </c>
      <c r="JA171" t="s">
        <v>385</v>
      </c>
      <c r="JB171" t="s">
        <v>385</v>
      </c>
      <c r="JC171" t="s">
        <v>385</v>
      </c>
      <c r="JD171" t="s">
        <v>385</v>
      </c>
      <c r="JE171" t="s">
        <v>385</v>
      </c>
      <c r="JF171" t="s">
        <v>385</v>
      </c>
      <c r="JG171" t="s">
        <v>385</v>
      </c>
      <c r="JH171" t="s">
        <v>385</v>
      </c>
      <c r="JI171" t="s">
        <v>385</v>
      </c>
      <c r="JJ171" t="s">
        <v>385</v>
      </c>
      <c r="JK171" t="s">
        <v>385</v>
      </c>
      <c r="JN171" t="s">
        <v>385</v>
      </c>
    </row>
    <row r="172" spans="1:274" x14ac:dyDescent="0.25">
      <c r="A172" s="42" t="s">
        <v>407</v>
      </c>
      <c r="B172" s="43" t="s">
        <v>408</v>
      </c>
      <c r="I172" t="s">
        <v>409</v>
      </c>
      <c r="HY172" t="s">
        <v>385</v>
      </c>
      <c r="HZ172" t="s">
        <v>385</v>
      </c>
      <c r="IA172" t="s">
        <v>385</v>
      </c>
      <c r="IB172" t="s">
        <v>385</v>
      </c>
      <c r="IC172" t="s">
        <v>385</v>
      </c>
      <c r="ID172" t="s">
        <v>385</v>
      </c>
      <c r="IE172" t="s">
        <v>385</v>
      </c>
      <c r="IF172" t="s">
        <v>385</v>
      </c>
      <c r="IG172" t="s">
        <v>385</v>
      </c>
      <c r="IH172" t="s">
        <v>385</v>
      </c>
      <c r="II172" t="s">
        <v>385</v>
      </c>
      <c r="IJ172" t="s">
        <v>385</v>
      </c>
      <c r="IK172" t="s">
        <v>385</v>
      </c>
      <c r="IL172" t="s">
        <v>385</v>
      </c>
      <c r="IM172" t="s">
        <v>385</v>
      </c>
      <c r="IN172" t="s">
        <v>385</v>
      </c>
      <c r="IO172" t="s">
        <v>385</v>
      </c>
      <c r="IP172" t="s">
        <v>385</v>
      </c>
      <c r="IQ172" t="s">
        <v>385</v>
      </c>
      <c r="IR172" t="s">
        <v>385</v>
      </c>
      <c r="IS172" t="s">
        <v>385</v>
      </c>
      <c r="IT172" t="s">
        <v>385</v>
      </c>
      <c r="IU172" t="s">
        <v>385</v>
      </c>
      <c r="IV172" t="s">
        <v>385</v>
      </c>
      <c r="IW172" t="s">
        <v>385</v>
      </c>
      <c r="IX172" t="s">
        <v>385</v>
      </c>
      <c r="IY172" t="s">
        <v>385</v>
      </c>
      <c r="IZ172" t="s">
        <v>385</v>
      </c>
      <c r="JA172" t="s">
        <v>385</v>
      </c>
      <c r="JB172" t="s">
        <v>385</v>
      </c>
      <c r="JC172" t="s">
        <v>385</v>
      </c>
      <c r="JD172" t="s">
        <v>385</v>
      </c>
      <c r="JE172" t="s">
        <v>385</v>
      </c>
      <c r="JF172" t="s">
        <v>385</v>
      </c>
      <c r="JG172" t="s">
        <v>385</v>
      </c>
      <c r="JH172" t="s">
        <v>385</v>
      </c>
      <c r="JI172" t="s">
        <v>385</v>
      </c>
      <c r="JJ172" t="s">
        <v>385</v>
      </c>
      <c r="JK172" t="s">
        <v>385</v>
      </c>
      <c r="JN172" t="s">
        <v>385</v>
      </c>
    </row>
    <row r="173" spans="1:274" x14ac:dyDescent="0.25">
      <c r="A173" s="42" t="s">
        <v>410</v>
      </c>
      <c r="B173" s="43" t="s">
        <v>411</v>
      </c>
      <c r="I173" t="s">
        <v>412</v>
      </c>
      <c r="HY173" t="s">
        <v>385</v>
      </c>
      <c r="HZ173" t="s">
        <v>385</v>
      </c>
      <c r="IA173" t="s">
        <v>385</v>
      </c>
      <c r="IB173" t="s">
        <v>385</v>
      </c>
      <c r="IC173" t="s">
        <v>385</v>
      </c>
      <c r="ID173" t="s">
        <v>385</v>
      </c>
      <c r="IE173" t="s">
        <v>385</v>
      </c>
      <c r="IF173" t="s">
        <v>385</v>
      </c>
      <c r="IG173" t="s">
        <v>385</v>
      </c>
      <c r="IH173" t="s">
        <v>385</v>
      </c>
      <c r="II173" t="s">
        <v>385</v>
      </c>
      <c r="IJ173" t="s">
        <v>385</v>
      </c>
      <c r="IK173" t="s">
        <v>385</v>
      </c>
      <c r="IL173" t="s">
        <v>385</v>
      </c>
      <c r="IM173" t="s">
        <v>385</v>
      </c>
      <c r="IN173" t="s">
        <v>385</v>
      </c>
      <c r="IO173" t="s">
        <v>385</v>
      </c>
      <c r="IP173" t="s">
        <v>385</v>
      </c>
      <c r="IQ173" t="s">
        <v>385</v>
      </c>
      <c r="IR173" t="s">
        <v>385</v>
      </c>
      <c r="IS173" t="s">
        <v>385</v>
      </c>
      <c r="IT173" t="s">
        <v>385</v>
      </c>
      <c r="IU173" t="s">
        <v>385</v>
      </c>
      <c r="IV173" t="s">
        <v>385</v>
      </c>
      <c r="IW173" t="s">
        <v>385</v>
      </c>
      <c r="IX173" t="s">
        <v>385</v>
      </c>
      <c r="IY173" t="s">
        <v>385</v>
      </c>
      <c r="IZ173" t="s">
        <v>385</v>
      </c>
      <c r="JA173" t="s">
        <v>385</v>
      </c>
      <c r="JB173" t="s">
        <v>385</v>
      </c>
      <c r="JC173" t="s">
        <v>385</v>
      </c>
      <c r="JD173" t="s">
        <v>385</v>
      </c>
      <c r="JE173" t="s">
        <v>385</v>
      </c>
      <c r="JF173" t="s">
        <v>385</v>
      </c>
      <c r="JG173" t="s">
        <v>385</v>
      </c>
      <c r="JH173" t="s">
        <v>385</v>
      </c>
      <c r="JI173" t="s">
        <v>385</v>
      </c>
      <c r="JJ173" t="s">
        <v>385</v>
      </c>
      <c r="JK173" t="s">
        <v>385</v>
      </c>
      <c r="JN173" t="s">
        <v>385</v>
      </c>
    </row>
    <row r="174" spans="1:274" x14ac:dyDescent="0.25">
      <c r="A174" s="42" t="s">
        <v>413</v>
      </c>
      <c r="B174" s="43" t="s">
        <v>414</v>
      </c>
      <c r="I174" t="s">
        <v>415</v>
      </c>
      <c r="HY174" t="s">
        <v>385</v>
      </c>
      <c r="HZ174" t="s">
        <v>385</v>
      </c>
      <c r="IA174" t="s">
        <v>385</v>
      </c>
      <c r="IB174" t="s">
        <v>385</v>
      </c>
      <c r="IC174" t="s">
        <v>385</v>
      </c>
      <c r="ID174" t="s">
        <v>385</v>
      </c>
      <c r="IE174" t="s">
        <v>385</v>
      </c>
      <c r="IF174" t="s">
        <v>385</v>
      </c>
      <c r="IG174" t="s">
        <v>385</v>
      </c>
      <c r="IH174" t="s">
        <v>385</v>
      </c>
      <c r="II174" t="s">
        <v>385</v>
      </c>
      <c r="IJ174" t="s">
        <v>385</v>
      </c>
      <c r="IK174" t="s">
        <v>385</v>
      </c>
      <c r="IL174" t="s">
        <v>385</v>
      </c>
      <c r="IM174" t="s">
        <v>385</v>
      </c>
      <c r="IN174" t="s">
        <v>385</v>
      </c>
      <c r="IO174" t="s">
        <v>385</v>
      </c>
      <c r="IP174" t="s">
        <v>385</v>
      </c>
      <c r="IQ174" t="s">
        <v>385</v>
      </c>
      <c r="IR174" t="s">
        <v>385</v>
      </c>
      <c r="IS174" t="s">
        <v>385</v>
      </c>
      <c r="IT174" t="s">
        <v>385</v>
      </c>
      <c r="IU174" t="s">
        <v>385</v>
      </c>
      <c r="IV174" t="s">
        <v>385</v>
      </c>
      <c r="IW174" t="s">
        <v>385</v>
      </c>
      <c r="IX174" t="s">
        <v>385</v>
      </c>
      <c r="IY174" t="s">
        <v>385</v>
      </c>
      <c r="IZ174" t="s">
        <v>385</v>
      </c>
      <c r="JA174" t="s">
        <v>385</v>
      </c>
      <c r="JB174" t="s">
        <v>385</v>
      </c>
      <c r="JC174" t="s">
        <v>385</v>
      </c>
      <c r="JD174" t="s">
        <v>385</v>
      </c>
      <c r="JE174" t="s">
        <v>385</v>
      </c>
      <c r="JF174" t="s">
        <v>385</v>
      </c>
      <c r="JG174" t="s">
        <v>385</v>
      </c>
      <c r="JH174" t="s">
        <v>385</v>
      </c>
      <c r="JI174" t="s">
        <v>385</v>
      </c>
      <c r="JJ174" t="s">
        <v>385</v>
      </c>
      <c r="JK174" t="s">
        <v>385</v>
      </c>
      <c r="JN174" t="s">
        <v>385</v>
      </c>
    </row>
    <row r="175" spans="1:274" x14ac:dyDescent="0.25">
      <c r="A175" s="42" t="s">
        <v>416</v>
      </c>
      <c r="B175" s="43" t="s">
        <v>417</v>
      </c>
      <c r="I175" t="s">
        <v>418</v>
      </c>
      <c r="HY175" t="s">
        <v>385</v>
      </c>
      <c r="HZ175" t="s">
        <v>385</v>
      </c>
      <c r="IA175" t="s">
        <v>385</v>
      </c>
      <c r="IB175" t="s">
        <v>385</v>
      </c>
      <c r="IC175" t="s">
        <v>385</v>
      </c>
      <c r="ID175" t="s">
        <v>385</v>
      </c>
      <c r="IE175" t="s">
        <v>385</v>
      </c>
      <c r="IF175" t="s">
        <v>385</v>
      </c>
      <c r="IG175" t="s">
        <v>385</v>
      </c>
      <c r="IH175" t="s">
        <v>385</v>
      </c>
      <c r="II175" t="s">
        <v>385</v>
      </c>
      <c r="IJ175" t="s">
        <v>385</v>
      </c>
      <c r="IK175" t="s">
        <v>385</v>
      </c>
      <c r="IL175" t="s">
        <v>385</v>
      </c>
      <c r="IM175" t="s">
        <v>385</v>
      </c>
      <c r="IN175" t="s">
        <v>385</v>
      </c>
      <c r="IO175" t="s">
        <v>385</v>
      </c>
      <c r="IP175" t="s">
        <v>385</v>
      </c>
      <c r="IQ175" t="s">
        <v>385</v>
      </c>
      <c r="IR175" t="s">
        <v>385</v>
      </c>
      <c r="IS175" t="s">
        <v>385</v>
      </c>
      <c r="IT175" t="s">
        <v>385</v>
      </c>
      <c r="IU175" t="s">
        <v>385</v>
      </c>
      <c r="IV175" t="s">
        <v>385</v>
      </c>
      <c r="IW175" t="s">
        <v>385</v>
      </c>
      <c r="IX175" t="s">
        <v>385</v>
      </c>
      <c r="IY175" t="s">
        <v>385</v>
      </c>
      <c r="IZ175" t="s">
        <v>385</v>
      </c>
      <c r="JA175" t="s">
        <v>385</v>
      </c>
      <c r="JB175" t="s">
        <v>385</v>
      </c>
      <c r="JC175" t="s">
        <v>385</v>
      </c>
      <c r="JD175" t="s">
        <v>385</v>
      </c>
      <c r="JE175" t="s">
        <v>385</v>
      </c>
      <c r="JF175" t="s">
        <v>385</v>
      </c>
      <c r="JG175" t="s">
        <v>385</v>
      </c>
      <c r="JH175" t="s">
        <v>385</v>
      </c>
      <c r="JI175" t="s">
        <v>385</v>
      </c>
      <c r="JJ175" t="s">
        <v>385</v>
      </c>
      <c r="JK175" t="s">
        <v>385</v>
      </c>
      <c r="JN175" t="s">
        <v>385</v>
      </c>
    </row>
    <row r="176" spans="1:274" x14ac:dyDescent="0.25">
      <c r="A176" s="42" t="s">
        <v>419</v>
      </c>
      <c r="B176" s="43" t="s">
        <v>420</v>
      </c>
      <c r="I176" t="s">
        <v>421</v>
      </c>
      <c r="HY176" t="s">
        <v>385</v>
      </c>
      <c r="HZ176" t="s">
        <v>385</v>
      </c>
      <c r="IA176" t="s">
        <v>385</v>
      </c>
      <c r="IB176" t="s">
        <v>385</v>
      </c>
      <c r="IC176" t="s">
        <v>385</v>
      </c>
      <c r="ID176" t="s">
        <v>385</v>
      </c>
      <c r="IE176" t="s">
        <v>385</v>
      </c>
      <c r="IF176" t="s">
        <v>385</v>
      </c>
      <c r="IG176" t="s">
        <v>385</v>
      </c>
      <c r="IH176" t="s">
        <v>385</v>
      </c>
      <c r="II176" t="s">
        <v>385</v>
      </c>
      <c r="IJ176" t="s">
        <v>385</v>
      </c>
      <c r="IK176" t="s">
        <v>385</v>
      </c>
      <c r="IL176" t="s">
        <v>385</v>
      </c>
      <c r="IM176" t="s">
        <v>385</v>
      </c>
      <c r="IN176" t="s">
        <v>385</v>
      </c>
      <c r="IO176" t="s">
        <v>385</v>
      </c>
      <c r="IP176" t="s">
        <v>385</v>
      </c>
      <c r="IQ176" t="s">
        <v>385</v>
      </c>
      <c r="IR176" t="s">
        <v>385</v>
      </c>
      <c r="IS176" t="s">
        <v>385</v>
      </c>
      <c r="IT176" t="s">
        <v>385</v>
      </c>
      <c r="IU176" t="s">
        <v>385</v>
      </c>
      <c r="IV176" t="s">
        <v>385</v>
      </c>
      <c r="IW176" t="s">
        <v>385</v>
      </c>
      <c r="IX176" t="s">
        <v>385</v>
      </c>
      <c r="IY176" t="s">
        <v>385</v>
      </c>
      <c r="IZ176" t="s">
        <v>385</v>
      </c>
      <c r="JA176" t="s">
        <v>385</v>
      </c>
      <c r="JB176" t="s">
        <v>385</v>
      </c>
      <c r="JC176" t="s">
        <v>385</v>
      </c>
      <c r="JD176" t="s">
        <v>385</v>
      </c>
      <c r="JE176" t="s">
        <v>385</v>
      </c>
      <c r="JF176" t="s">
        <v>385</v>
      </c>
      <c r="JG176" t="s">
        <v>385</v>
      </c>
      <c r="JH176" t="s">
        <v>385</v>
      </c>
      <c r="JI176" t="s">
        <v>385</v>
      </c>
      <c r="JJ176" t="s">
        <v>385</v>
      </c>
      <c r="JK176" t="s">
        <v>385</v>
      </c>
      <c r="JN176" t="s">
        <v>385</v>
      </c>
    </row>
    <row r="177" spans="1:274" x14ac:dyDescent="0.25">
      <c r="A177" s="42" t="s">
        <v>422</v>
      </c>
      <c r="B177" s="43" t="s">
        <v>423</v>
      </c>
      <c r="I177" t="s">
        <v>424</v>
      </c>
      <c r="HY177" t="s">
        <v>385</v>
      </c>
      <c r="HZ177" t="s">
        <v>385</v>
      </c>
      <c r="IA177" t="s">
        <v>385</v>
      </c>
      <c r="IB177" t="s">
        <v>385</v>
      </c>
      <c r="IC177" t="s">
        <v>385</v>
      </c>
      <c r="ID177" t="s">
        <v>385</v>
      </c>
      <c r="IE177" t="s">
        <v>385</v>
      </c>
      <c r="IF177" t="s">
        <v>385</v>
      </c>
      <c r="IG177" t="s">
        <v>385</v>
      </c>
      <c r="IH177" t="s">
        <v>385</v>
      </c>
      <c r="II177" t="s">
        <v>385</v>
      </c>
      <c r="IJ177" t="s">
        <v>385</v>
      </c>
      <c r="IK177" t="s">
        <v>385</v>
      </c>
      <c r="IL177" t="s">
        <v>385</v>
      </c>
      <c r="IM177" t="s">
        <v>385</v>
      </c>
      <c r="IN177" t="s">
        <v>385</v>
      </c>
      <c r="IO177" t="s">
        <v>385</v>
      </c>
      <c r="IP177" t="s">
        <v>385</v>
      </c>
      <c r="IQ177" t="s">
        <v>385</v>
      </c>
      <c r="IR177" t="s">
        <v>385</v>
      </c>
      <c r="IS177" t="s">
        <v>385</v>
      </c>
      <c r="IT177" t="s">
        <v>385</v>
      </c>
      <c r="IU177" t="s">
        <v>385</v>
      </c>
      <c r="IV177" t="s">
        <v>385</v>
      </c>
      <c r="IW177" t="s">
        <v>385</v>
      </c>
      <c r="IX177" t="s">
        <v>385</v>
      </c>
      <c r="IY177" t="s">
        <v>385</v>
      </c>
      <c r="IZ177" t="s">
        <v>385</v>
      </c>
      <c r="JA177" t="s">
        <v>385</v>
      </c>
      <c r="JB177" t="s">
        <v>385</v>
      </c>
      <c r="JC177" t="s">
        <v>385</v>
      </c>
      <c r="JD177" t="s">
        <v>385</v>
      </c>
      <c r="JE177" t="s">
        <v>385</v>
      </c>
      <c r="JF177" t="s">
        <v>385</v>
      </c>
      <c r="JG177" t="s">
        <v>385</v>
      </c>
      <c r="JH177" t="s">
        <v>385</v>
      </c>
      <c r="JI177" t="s">
        <v>385</v>
      </c>
      <c r="JJ177" t="s">
        <v>385</v>
      </c>
      <c r="JK177" t="s">
        <v>385</v>
      </c>
      <c r="JN177" t="s">
        <v>385</v>
      </c>
    </row>
    <row r="178" spans="1:274" x14ac:dyDescent="0.25">
      <c r="A178" s="42" t="s">
        <v>425</v>
      </c>
      <c r="B178" s="43" t="s">
        <v>426</v>
      </c>
      <c r="I178" t="s">
        <v>427</v>
      </c>
      <c r="HY178" t="s">
        <v>385</v>
      </c>
      <c r="HZ178" t="s">
        <v>385</v>
      </c>
      <c r="IA178" t="s">
        <v>385</v>
      </c>
      <c r="IB178" t="s">
        <v>385</v>
      </c>
      <c r="IC178" t="s">
        <v>385</v>
      </c>
      <c r="ID178" t="s">
        <v>385</v>
      </c>
      <c r="IE178" t="s">
        <v>385</v>
      </c>
      <c r="IF178" t="s">
        <v>385</v>
      </c>
      <c r="IG178" t="s">
        <v>385</v>
      </c>
      <c r="IH178" t="s">
        <v>385</v>
      </c>
      <c r="II178" t="s">
        <v>385</v>
      </c>
      <c r="IJ178" t="s">
        <v>385</v>
      </c>
      <c r="IK178" t="s">
        <v>385</v>
      </c>
      <c r="IL178" t="s">
        <v>385</v>
      </c>
      <c r="IM178" t="s">
        <v>385</v>
      </c>
      <c r="IN178" t="s">
        <v>385</v>
      </c>
      <c r="IO178" t="s">
        <v>385</v>
      </c>
      <c r="IP178" t="s">
        <v>385</v>
      </c>
      <c r="IQ178" t="s">
        <v>385</v>
      </c>
      <c r="IR178" t="s">
        <v>385</v>
      </c>
      <c r="IS178" t="s">
        <v>385</v>
      </c>
      <c r="IT178" t="s">
        <v>385</v>
      </c>
      <c r="IU178" t="s">
        <v>385</v>
      </c>
      <c r="IV178" t="s">
        <v>385</v>
      </c>
      <c r="IW178" t="s">
        <v>385</v>
      </c>
      <c r="IX178" t="s">
        <v>385</v>
      </c>
      <c r="IY178" t="s">
        <v>385</v>
      </c>
      <c r="IZ178" t="s">
        <v>385</v>
      </c>
      <c r="JA178" t="s">
        <v>385</v>
      </c>
      <c r="JB178" t="s">
        <v>385</v>
      </c>
      <c r="JC178" t="s">
        <v>385</v>
      </c>
      <c r="JD178" t="s">
        <v>385</v>
      </c>
      <c r="JE178" t="s">
        <v>385</v>
      </c>
      <c r="JF178" t="s">
        <v>385</v>
      </c>
      <c r="JG178" t="s">
        <v>385</v>
      </c>
      <c r="JH178" t="s">
        <v>385</v>
      </c>
      <c r="JI178" t="s">
        <v>385</v>
      </c>
      <c r="JJ178" t="s">
        <v>385</v>
      </c>
      <c r="JK178" t="s">
        <v>385</v>
      </c>
      <c r="JN178" t="s">
        <v>385</v>
      </c>
    </row>
    <row r="179" ht="14.4" customHeight="1" spans="1:274" x14ac:dyDescent="0.25">
      <c r="A179" s="42" t="s">
        <v>428</v>
      </c>
      <c r="B179" s="43" t="s">
        <v>429</v>
      </c>
      <c r="I179" t="s">
        <v>430</v>
      </c>
      <c r="HY179" t="s">
        <v>385</v>
      </c>
      <c r="HZ179" t="s">
        <v>385</v>
      </c>
      <c r="IA179" t="s">
        <v>385</v>
      </c>
      <c r="IB179" t="s">
        <v>385</v>
      </c>
      <c r="IC179" t="s">
        <v>385</v>
      </c>
      <c r="ID179" t="s">
        <v>385</v>
      </c>
      <c r="IE179" t="s">
        <v>385</v>
      </c>
      <c r="IF179" t="s">
        <v>385</v>
      </c>
      <c r="IG179" t="s">
        <v>385</v>
      </c>
      <c r="IH179" t="s">
        <v>385</v>
      </c>
      <c r="II179" t="s">
        <v>385</v>
      </c>
      <c r="IJ179" t="s">
        <v>385</v>
      </c>
      <c r="IK179" t="s">
        <v>385</v>
      </c>
      <c r="IL179" t="s">
        <v>385</v>
      </c>
      <c r="IM179" t="s">
        <v>385</v>
      </c>
      <c r="IN179" t="s">
        <v>385</v>
      </c>
      <c r="IO179" t="s">
        <v>385</v>
      </c>
      <c r="IP179" t="s">
        <v>385</v>
      </c>
      <c r="IQ179" t="s">
        <v>385</v>
      </c>
      <c r="IR179" t="s">
        <v>385</v>
      </c>
      <c r="IS179" t="s">
        <v>385</v>
      </c>
      <c r="IT179" t="s">
        <v>385</v>
      </c>
      <c r="IU179" t="s">
        <v>385</v>
      </c>
      <c r="IV179" t="s">
        <v>385</v>
      </c>
      <c r="IW179" t="s">
        <v>385</v>
      </c>
      <c r="IX179" t="s">
        <v>385</v>
      </c>
      <c r="IY179" t="s">
        <v>385</v>
      </c>
      <c r="IZ179" t="s">
        <v>385</v>
      </c>
      <c r="JA179" t="s">
        <v>385</v>
      </c>
      <c r="JB179" t="s">
        <v>385</v>
      </c>
      <c r="JC179" t="s">
        <v>385</v>
      </c>
      <c r="JD179" t="s">
        <v>385</v>
      </c>
      <c r="JE179" t="s">
        <v>385</v>
      </c>
      <c r="JF179" t="s">
        <v>385</v>
      </c>
      <c r="JG179" t="s">
        <v>385</v>
      </c>
      <c r="JH179" t="s">
        <v>385</v>
      </c>
      <c r="JI179" t="s">
        <v>385</v>
      </c>
      <c r="JJ179" t="s">
        <v>385</v>
      </c>
      <c r="JK179" t="s">
        <v>385</v>
      </c>
      <c r="JN179" t="s">
        <v>385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{9EC33E21-6CB2-4D46-AA6E-C3872EC167A0}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C33E21-6CB2-4D46-AA6E-C3872EC167A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82</v>
      </c>
      <c r="C8" s="32" t="s">
        <v>83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85</v>
      </c>
      <c r="C9" s="32" t="s">
        <v>86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90</v>
      </c>
      <c r="C10" s="32" t="s">
        <v>91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95</v>
      </c>
      <c r="C11" s="32" t="s">
        <v>96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98</v>
      </c>
      <c r="C12" s="32" t="s">
        <v>99</v>
      </c>
      <c r="D12" s="42"/>
      <c r="E12" s="42" t="s">
        <v>100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102</v>
      </c>
      <c r="C13" s="32" t="s">
        <v>103</v>
      </c>
      <c r="D13" s="42"/>
      <c r="E13" s="42" t="s">
        <v>100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106</v>
      </c>
      <c r="C14" s="32" t="s">
        <v>107</v>
      </c>
      <c r="D14" s="42"/>
      <c r="E14" s="42" t="s">
        <v>100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109</v>
      </c>
      <c r="C15" s="32" t="s">
        <v>110</v>
      </c>
      <c r="D15" s="42"/>
      <c r="E15" s="42" t="s">
        <v>100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431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432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238</v>
      </c>
      <c r="C55" s="32" t="s">
        <v>239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243</v>
      </c>
      <c r="C56" s="32" t="s">
        <v>244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246</v>
      </c>
      <c r="C57" s="32" t="s">
        <v>247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249</v>
      </c>
      <c r="C58" s="32" t="s">
        <v>250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252</v>
      </c>
      <c r="C59" s="32" t="s">
        <v>253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255</v>
      </c>
      <c r="C60" s="32" t="s">
        <v>256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258</v>
      </c>
      <c r="C61" s="32" t="s">
        <v>259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263</v>
      </c>
      <c r="C62" s="32" t="s">
        <v>264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266</v>
      </c>
      <c r="C63" s="32" t="s">
        <v>267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269</v>
      </c>
      <c r="C64" s="32" t="s">
        <v>270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272</v>
      </c>
      <c r="C65" s="32" t="s">
        <v>273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275</v>
      </c>
      <c r="C66" s="32" t="s">
        <v>276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279</v>
      </c>
      <c r="C67" s="32" t="s">
        <v>280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282</v>
      </c>
      <c r="C68" s="32" t="s">
        <v>283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285</v>
      </c>
      <c r="C69" s="32" t="s">
        <v>286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288</v>
      </c>
      <c r="C70" s="32" t="s">
        <v>289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292</v>
      </c>
      <c r="C71" s="32" t="s">
        <v>293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295</v>
      </c>
      <c r="C72" s="32" t="s">
        <v>296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298</v>
      </c>
      <c r="C73" s="32" t="s">
        <v>299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301</v>
      </c>
      <c r="C74" s="32" t="s">
        <v>302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304</v>
      </c>
      <c r="C75" s="32" t="s">
        <v>305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307</v>
      </c>
      <c r="C76" s="32" t="s">
        <v>308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310</v>
      </c>
      <c r="C77" s="32" t="s">
        <v>311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313</v>
      </c>
      <c r="C78" s="32" t="s">
        <v>314</v>
      </c>
      <c r="D78" s="42"/>
      <c r="E78" s="42" t="s">
        <v>100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315</v>
      </c>
      <c r="C79" s="32" t="s">
        <v>316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317</v>
      </c>
      <c r="C80" s="32" t="s">
        <v>318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319</v>
      </c>
      <c r="C81" s="32" t="s">
        <v>320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321</v>
      </c>
      <c r="C82" s="32" t="s">
        <v>322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323</v>
      </c>
      <c r="C83" s="32" t="s">
        <v>324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325</v>
      </c>
      <c r="C84" s="32" t="s">
        <v>326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328</v>
      </c>
      <c r="C85" s="32" t="s">
        <v>329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331</v>
      </c>
      <c r="C86" s="32" t="s">
        <v>332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333</v>
      </c>
      <c r="C87" s="32" t="s">
        <v>334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335</v>
      </c>
      <c r="C88" s="32" t="s">
        <v>336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337</v>
      </c>
      <c r="C89" s="32" t="s">
        <v>338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339</v>
      </c>
      <c r="C90" s="32" t="s">
        <v>340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341</v>
      </c>
      <c r="C91" s="32" t="s">
        <v>342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343</v>
      </c>
      <c r="C92" s="32" t="s">
        <v>344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345</v>
      </c>
      <c r="C93" s="32" t="s">
        <v>346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347</v>
      </c>
      <c r="C94" s="32" t="s">
        <v>348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349</v>
      </c>
      <c r="C95" s="32" t="s">
        <v>350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351</v>
      </c>
      <c r="C96" s="32" t="s">
        <v>352</v>
      </c>
      <c r="D96" s="42"/>
      <c r="E96" s="42" t="s">
        <v>100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353</v>
      </c>
      <c r="C97" s="32" t="s">
        <v>354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356</v>
      </c>
      <c r="C98" s="32" t="s">
        <v>357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358</v>
      </c>
      <c r="C99" s="32" t="s">
        <v>359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360</v>
      </c>
      <c r="C100" s="32" t="s">
        <v>361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362</v>
      </c>
      <c r="C101" s="32" t="s">
        <v>363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364</v>
      </c>
      <c r="C102" s="32" t="s">
        <v>365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366</v>
      </c>
      <c r="C103" s="32" t="s">
        <v>367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368</v>
      </c>
      <c r="C104" s="32" t="s">
        <v>369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370</v>
      </c>
      <c r="C105" s="32" t="s">
        <v>371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372</v>
      </c>
      <c r="C106" s="32" t="s">
        <v>373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313</v>
      </c>
      <c r="C107" s="32" t="s">
        <v>314</v>
      </c>
      <c r="D107" s="42"/>
      <c r="E107" s="42" t="s">
        <v>100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317</v>
      </c>
      <c r="C108" s="32" t="s">
        <v>318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319</v>
      </c>
      <c r="C109" s="32" t="s">
        <v>320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321</v>
      </c>
      <c r="C110" s="32" t="s">
        <v>322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323</v>
      </c>
      <c r="C111" s="32" t="s">
        <v>324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325</v>
      </c>
      <c r="C112" s="32" t="s">
        <v>326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328</v>
      </c>
      <c r="C113" s="32" t="s">
        <v>329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331</v>
      </c>
      <c r="C114" s="32" t="s">
        <v>332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333</v>
      </c>
      <c r="C115" s="32" t="s">
        <v>334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335</v>
      </c>
      <c r="C116" s="32" t="s">
        <v>336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337</v>
      </c>
      <c r="C117" s="32" t="s">
        <v>338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339</v>
      </c>
      <c r="C118" s="32" t="s">
        <v>340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341</v>
      </c>
      <c r="C119" s="32" t="s">
        <v>342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343</v>
      </c>
      <c r="C120" s="32" t="s">
        <v>344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345</v>
      </c>
      <c r="C121" s="32" t="s">
        <v>346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347</v>
      </c>
      <c r="C122" s="32" t="s">
        <v>348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349</v>
      </c>
      <c r="C123" s="32" t="s">
        <v>350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351</v>
      </c>
      <c r="C124" s="32" t="s">
        <v>352</v>
      </c>
      <c r="D124" s="42"/>
      <c r="E124" s="42" t="s">
        <v>100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353</v>
      </c>
      <c r="C125" s="32" t="s">
        <v>354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356</v>
      </c>
      <c r="C126" s="32" t="s">
        <v>357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358</v>
      </c>
      <c r="C127" s="32" t="s">
        <v>359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360</v>
      </c>
      <c r="C128" s="32" t="s">
        <v>361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362</v>
      </c>
      <c r="C129" s="32" t="s">
        <v>363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364</v>
      </c>
      <c r="C130" s="32" t="s">
        <v>365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366</v>
      </c>
      <c r="C131" s="32" t="s">
        <v>367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368</v>
      </c>
      <c r="C132" s="32" t="s">
        <v>369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370</v>
      </c>
      <c r="C133" s="32" t="s">
        <v>371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372</v>
      </c>
      <c r="C134" s="32" t="s">
        <v>373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313</v>
      </c>
      <c r="C135" s="32" t="s">
        <v>314</v>
      </c>
      <c r="D135" s="42"/>
      <c r="E135" s="42" t="s">
        <v>100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92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374</v>
      </c>
      <c r="C136" s="32" t="s">
        <v>375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317</v>
      </c>
      <c r="C137" s="32" t="s">
        <v>318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319</v>
      </c>
      <c r="C138" s="32" t="s">
        <v>320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323</v>
      </c>
      <c r="C139" s="32" t="s">
        <v>324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325</v>
      </c>
      <c r="C140" s="32" t="s">
        <v>326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328</v>
      </c>
      <c r="C141" s="32" t="s">
        <v>329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80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331</v>
      </c>
      <c r="C142" s="32" t="s">
        <v>332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80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362</v>
      </c>
      <c r="C143" s="32" t="s">
        <v>363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333</v>
      </c>
      <c r="C144" s="32" t="s">
        <v>334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335</v>
      </c>
      <c r="C145" s="32" t="s">
        <v>336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80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337</v>
      </c>
      <c r="C146" s="32" t="s">
        <v>338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339</v>
      </c>
      <c r="C147" s="32" t="s">
        <v>340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341</v>
      </c>
      <c r="C148" s="32" t="s">
        <v>342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343</v>
      </c>
      <c r="C149" s="32" t="s">
        <v>344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345</v>
      </c>
      <c r="C150" s="32" t="s">
        <v>346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347</v>
      </c>
      <c r="C151" s="32" t="s">
        <v>348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349</v>
      </c>
      <c r="C152" s="32" t="s">
        <v>350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351</v>
      </c>
      <c r="C153" s="32" t="s">
        <v>352</v>
      </c>
      <c r="D153" s="42"/>
      <c r="E153" s="42" t="s">
        <v>100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353</v>
      </c>
      <c r="C154" s="32" t="s">
        <v>354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356</v>
      </c>
      <c r="C155" s="32" t="s">
        <v>357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358</v>
      </c>
      <c r="C156" s="32" t="s">
        <v>359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360</v>
      </c>
      <c r="C157" s="32" t="s">
        <v>361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364</v>
      </c>
      <c r="C158" s="32" t="s">
        <v>365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366</v>
      </c>
      <c r="C159" s="32" t="s">
        <v>367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368</v>
      </c>
      <c r="C160" s="32" t="s">
        <v>369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370</v>
      </c>
      <c r="C161" s="32" t="s">
        <v>371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433</v>
      </c>
      <c r="F1"/>
      <c r="G1"/>
      <c r="H1"/>
      <c r="I1"/>
      <c r="J1" s="1" t="s">
        <v>434</v>
      </c>
      <c r="K1"/>
      <c r="L1"/>
      <c r="M1"/>
      <c r="N1"/>
      <c r="O1" s="1" t="s">
        <v>435</v>
      </c>
      <c r="P1"/>
      <c r="Q1"/>
      <c r="R1"/>
      <c r="S1"/>
      <c r="T1" s="1" t="s">
        <v>436</v>
      </c>
      <c r="U1"/>
      <c r="V1"/>
      <c r="W1"/>
      <c r="X1"/>
      <c r="Y1" s="1" t="s">
        <v>437</v>
      </c>
      <c r="Z1"/>
      <c r="AA1"/>
      <c r="AB1"/>
      <c r="AC1"/>
      <c r="AD1" s="1" t="s">
        <v>438</v>
      </c>
      <c r="AE1"/>
      <c r="AF1"/>
      <c r="AG1"/>
      <c r="AH1"/>
      <c r="AI1" s="1" t="s">
        <v>439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440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440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440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440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440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440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440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82</v>
      </c>
      <c r="C8" s="32" t="s">
        <v>83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85</v>
      </c>
      <c r="C9" s="32" t="s">
        <v>86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90</v>
      </c>
      <c r="C10" s="32" t="s">
        <v>91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95</v>
      </c>
      <c r="C11" s="32" t="s">
        <v>96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98</v>
      </c>
      <c r="C12" s="32" t="s">
        <v>99</v>
      </c>
      <c r="D12" s="42" t="s">
        <v>100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102</v>
      </c>
      <c r="C13" s="32" t="s">
        <v>103</v>
      </c>
      <c r="D13" s="42" t="s">
        <v>100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106</v>
      </c>
      <c r="C14" s="32" t="s">
        <v>107</v>
      </c>
      <c r="D14" s="42" t="s">
        <v>100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109</v>
      </c>
      <c r="C15" s="32" t="s">
        <v>110</v>
      </c>
      <c r="D15" s="42" t="s">
        <v>100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431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432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238</v>
      </c>
      <c r="C55" s="32" t="s">
        <v>239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243</v>
      </c>
      <c r="C56" s="32" t="s">
        <v>244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246</v>
      </c>
      <c r="C57" s="32" t="s">
        <v>247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249</v>
      </c>
      <c r="C58" s="32" t="s">
        <v>250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252</v>
      </c>
      <c r="C59" s="32" t="s">
        <v>253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255</v>
      </c>
      <c r="C60" s="32" t="s">
        <v>256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258</v>
      </c>
      <c r="C61" s="32" t="s">
        <v>259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263</v>
      </c>
      <c r="C62" s="32" t="s">
        <v>264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266</v>
      </c>
      <c r="C63" s="32" t="s">
        <v>267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269</v>
      </c>
      <c r="C64" s="32" t="s">
        <v>270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272</v>
      </c>
      <c r="C65" s="32" t="s">
        <v>273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275</v>
      </c>
      <c r="C66" s="32" t="s">
        <v>276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279</v>
      </c>
      <c r="C67" s="32" t="s">
        <v>280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282</v>
      </c>
      <c r="C68" s="32" t="s">
        <v>283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285</v>
      </c>
      <c r="C69" s="32" t="s">
        <v>286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288</v>
      </c>
      <c r="C70" s="32" t="s">
        <v>289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292</v>
      </c>
      <c r="C71" s="32" t="s">
        <v>293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295</v>
      </c>
      <c r="C72" s="32" t="s">
        <v>296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298</v>
      </c>
      <c r="C73" s="32" t="s">
        <v>299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301</v>
      </c>
      <c r="C74" s="32" t="s">
        <v>302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304</v>
      </c>
      <c r="C75" s="32" t="s">
        <v>305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307</v>
      </c>
      <c r="C76" s="32" t="s">
        <v>308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310</v>
      </c>
      <c r="C77" s="32" t="s">
        <v>311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313</v>
      </c>
      <c r="C78" s="32" t="s">
        <v>314</v>
      </c>
      <c r="D78" s="42" t="s">
        <v>100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315</v>
      </c>
      <c r="C79" s="32" t="s">
        <v>316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317</v>
      </c>
      <c r="C80" s="32" t="s">
        <v>318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319</v>
      </c>
      <c r="C81" s="32" t="s">
        <v>320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321</v>
      </c>
      <c r="C82" s="32" t="s">
        <v>322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323</v>
      </c>
      <c r="C83" s="32" t="s">
        <v>324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325</v>
      </c>
      <c r="C84" s="32" t="s">
        <v>326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328</v>
      </c>
      <c r="C85" s="32" t="s">
        <v>329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331</v>
      </c>
      <c r="C86" s="32" t="s">
        <v>332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333</v>
      </c>
      <c r="C87" s="32" t="s">
        <v>334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335</v>
      </c>
      <c r="C88" s="32" t="s">
        <v>336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337</v>
      </c>
      <c r="C89" s="32" t="s">
        <v>338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339</v>
      </c>
      <c r="C90" s="32" t="s">
        <v>340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341</v>
      </c>
      <c r="C91" s="32" t="s">
        <v>342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343</v>
      </c>
      <c r="C92" s="32" t="s">
        <v>344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345</v>
      </c>
      <c r="C93" s="32" t="s">
        <v>346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347</v>
      </c>
      <c r="C94" s="32" t="s">
        <v>348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349</v>
      </c>
      <c r="C95" s="32" t="s">
        <v>350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351</v>
      </c>
      <c r="C96" s="32" t="s">
        <v>352</v>
      </c>
      <c r="D96" s="42" t="s">
        <v>100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353</v>
      </c>
      <c r="C97" s="32" t="s">
        <v>354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356</v>
      </c>
      <c r="C98" s="32" t="s">
        <v>357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358</v>
      </c>
      <c r="C99" s="32" t="s">
        <v>359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360</v>
      </c>
      <c r="C100" s="32" t="s">
        <v>361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362</v>
      </c>
      <c r="C101" s="32" t="s">
        <v>363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364</v>
      </c>
      <c r="C102" s="32" t="s">
        <v>365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366</v>
      </c>
      <c r="C103" s="32" t="s">
        <v>367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368</v>
      </c>
      <c r="C104" s="32" t="s">
        <v>369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370</v>
      </c>
      <c r="C105" s="32" t="s">
        <v>371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372</v>
      </c>
      <c r="C106" s="32" t="s">
        <v>373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313</v>
      </c>
      <c r="C107" s="32" t="s">
        <v>314</v>
      </c>
      <c r="D107" s="42" t="s">
        <v>100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317</v>
      </c>
      <c r="C108" s="32" t="s">
        <v>318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319</v>
      </c>
      <c r="C109" s="32" t="s">
        <v>320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321</v>
      </c>
      <c r="C110" s="32" t="s">
        <v>322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323</v>
      </c>
      <c r="C111" s="32" t="s">
        <v>324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325</v>
      </c>
      <c r="C112" s="32" t="s">
        <v>326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328</v>
      </c>
      <c r="C113" s="32" t="s">
        <v>329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331</v>
      </c>
      <c r="C114" s="32" t="s">
        <v>332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333</v>
      </c>
      <c r="C115" s="32" t="s">
        <v>334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335</v>
      </c>
      <c r="C116" s="32" t="s">
        <v>336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337</v>
      </c>
      <c r="C117" s="32" t="s">
        <v>338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339</v>
      </c>
      <c r="C118" s="32" t="s">
        <v>340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341</v>
      </c>
      <c r="C119" s="32" t="s">
        <v>342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343</v>
      </c>
      <c r="C120" s="32" t="s">
        <v>344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345</v>
      </c>
      <c r="C121" s="32" t="s">
        <v>346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347</v>
      </c>
      <c r="C122" s="32" t="s">
        <v>348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349</v>
      </c>
      <c r="C123" s="32" t="s">
        <v>350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351</v>
      </c>
      <c r="C124" s="32" t="s">
        <v>352</v>
      </c>
      <c r="D124" s="42" t="s">
        <v>100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353</v>
      </c>
      <c r="C125" s="32" t="s">
        <v>354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356</v>
      </c>
      <c r="C126" s="32" t="s">
        <v>357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358</v>
      </c>
      <c r="C127" s="32" t="s">
        <v>359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360</v>
      </c>
      <c r="C128" s="32" t="s">
        <v>361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362</v>
      </c>
      <c r="C129" s="32" t="s">
        <v>363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364</v>
      </c>
      <c r="C130" s="32" t="s">
        <v>365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366</v>
      </c>
      <c r="C131" s="32" t="s">
        <v>367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368</v>
      </c>
      <c r="C132" s="32" t="s">
        <v>369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370</v>
      </c>
      <c r="C133" s="32" t="s">
        <v>371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372</v>
      </c>
      <c r="C134" s="32" t="s">
        <v>373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313</v>
      </c>
      <c r="C135" s="32" t="s">
        <v>314</v>
      </c>
      <c r="D135" s="42" t="s">
        <v>100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374</v>
      </c>
      <c r="C136" s="32" t="s">
        <v>375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317</v>
      </c>
      <c r="C137" s="32" t="s">
        <v>318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319</v>
      </c>
      <c r="C138" s="32" t="s">
        <v>320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323</v>
      </c>
      <c r="C139" s="32" t="s">
        <v>324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325</v>
      </c>
      <c r="C140" s="32" t="s">
        <v>326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328</v>
      </c>
      <c r="C141" s="32" t="s">
        <v>329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331</v>
      </c>
      <c r="C142" s="32" t="s">
        <v>332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362</v>
      </c>
      <c r="C143" s="32" t="s">
        <v>363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333</v>
      </c>
      <c r="C144" s="32" t="s">
        <v>334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335</v>
      </c>
      <c r="C145" s="32" t="s">
        <v>336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337</v>
      </c>
      <c r="C146" s="32" t="s">
        <v>338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339</v>
      </c>
      <c r="C147" s="32" t="s">
        <v>340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341</v>
      </c>
      <c r="C148" s="32" t="s">
        <v>342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343</v>
      </c>
      <c r="C149" s="32" t="s">
        <v>344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345</v>
      </c>
      <c r="C150" s="32" t="s">
        <v>346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347</v>
      </c>
      <c r="C151" s="32" t="s">
        <v>348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349</v>
      </c>
      <c r="C152" s="32" t="s">
        <v>350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351</v>
      </c>
      <c r="C153" s="32" t="s">
        <v>352</v>
      </c>
      <c r="D153" s="42" t="s">
        <v>100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353</v>
      </c>
      <c r="C154" s="32" t="s">
        <v>354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356</v>
      </c>
      <c r="C155" s="32" t="s">
        <v>357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358</v>
      </c>
      <c r="C156" s="32" t="s">
        <v>359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360</v>
      </c>
      <c r="C157" s="32" t="s">
        <v>361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364</v>
      </c>
      <c r="C158" s="32" t="s">
        <v>365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366</v>
      </c>
      <c r="C159" s="32" t="s">
        <v>367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368</v>
      </c>
      <c r="C160" s="32" t="s">
        <v>369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370</v>
      </c>
      <c r="C161" s="32" t="s">
        <v>371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ht="13.5" customHeight="1" spans="1:12" x14ac:dyDescent="0.25">
      <c r="A2" s="1">
        <v>1</v>
      </c>
      <c r="B2" s="87" t="s">
        <v>452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>
        <v>1</v>
      </c>
      <c r="L2" s="1" t="s">
        <v>455</v>
      </c>
    </row>
    <row r="3" ht="13.5" customHeight="1" spans="1:12" x14ac:dyDescent="0.25">
      <c r="A3" s="1">
        <v>2</v>
      </c>
      <c r="B3" s="87" t="s">
        <v>452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>
        <v>1</v>
      </c>
      <c r="L3" s="1" t="s">
        <v>455</v>
      </c>
    </row>
    <row r="4" ht="13.5" customHeight="1" spans="1:12" x14ac:dyDescent="0.25">
      <c r="A4" s="1">
        <v>3</v>
      </c>
      <c r="B4" s="87" t="s">
        <v>452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ht="13.5" customHeight="1" spans="1:12" x14ac:dyDescent="0.25">
      <c r="A5" s="1">
        <v>4</v>
      </c>
      <c r="B5" s="87" t="s">
        <v>452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>
        <v>0.5</v>
      </c>
      <c r="L5" s="1" t="s">
        <v>455</v>
      </c>
    </row>
    <row r="6" ht="13.5" customHeight="1" spans="1:12" x14ac:dyDescent="0.25">
      <c r="A6" s="1">
        <v>5</v>
      </c>
      <c r="B6" s="87" t="s">
        <v>452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ht="13.5" customHeight="1" spans="1:12" x14ac:dyDescent="0.25">
      <c r="A7" s="1">
        <v>6</v>
      </c>
      <c r="B7" s="87" t="s">
        <v>452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>
        <v>1</v>
      </c>
      <c r="L7" s="1" t="s">
        <v>455</v>
      </c>
    </row>
    <row r="8" ht="13.5" customHeight="1" spans="1:12" x14ac:dyDescent="0.25">
      <c r="A8" s="1">
        <v>7</v>
      </c>
      <c r="B8" s="87" t="s">
        <v>452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>
        <v>2</v>
      </c>
      <c r="L8" s="1" t="s">
        <v>455</v>
      </c>
    </row>
    <row r="9" ht="13.5" customHeight="1" spans="1:12" x14ac:dyDescent="0.25">
      <c r="A9" s="1">
        <v>8</v>
      </c>
      <c r="B9" s="87" t="s">
        <v>452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ht="13.5" customHeight="1" spans="1:12" x14ac:dyDescent="0.25">
      <c r="A10" s="1">
        <v>9</v>
      </c>
      <c r="B10" s="87" t="s">
        <v>452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ht="13.5" customHeight="1" spans="1:12" x14ac:dyDescent="0.25">
      <c r="A11" s="1">
        <v>10</v>
      </c>
      <c r="B11" s="87" t="s">
        <v>452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ht="13.5" customHeight="1" spans="1:12" x14ac:dyDescent="0.25">
      <c r="A12" s="1">
        <v>11</v>
      </c>
      <c r="B12" s="87" t="s">
        <v>471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ht="13.5" customHeight="1" spans="1:12" x14ac:dyDescent="0.25">
      <c r="A13" s="1">
        <v>12</v>
      </c>
      <c r="B13" s="87" t="s">
        <v>471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ht="13.5" customHeight="1" spans="1:12" x14ac:dyDescent="0.25">
      <c r="A14" s="1">
        <v>13</v>
      </c>
      <c r="B14" s="87" t="s">
        <v>471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>
        <v>2</v>
      </c>
      <c r="L14" s="1" t="s">
        <v>455</v>
      </c>
    </row>
    <row r="15" ht="13.5" customHeight="1" spans="1:12" x14ac:dyDescent="0.25">
      <c r="A15" s="1">
        <v>14</v>
      </c>
      <c r="B15" s="87" t="s">
        <v>471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>
        <v>1</v>
      </c>
      <c r="L15" s="1" t="s">
        <v>455</v>
      </c>
    </row>
    <row r="16" ht="13.5" customHeight="1" spans="1:12" x14ac:dyDescent="0.25">
      <c r="A16" s="1">
        <v>15</v>
      </c>
      <c r="B16" s="87" t="s">
        <v>471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ht="13.5" customHeight="1" spans="1:12" x14ac:dyDescent="0.25">
      <c r="A17" s="1">
        <v>16</v>
      </c>
      <c r="B17" s="87" t="s">
        <v>471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ht="13.5" customHeight="1" spans="1:12" x14ac:dyDescent="0.25">
      <c r="A18" s="1">
        <v>17</v>
      </c>
      <c r="B18" s="87" t="s">
        <v>471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ht="13.5" customHeight="1" spans="1:12" x14ac:dyDescent="0.25">
      <c r="A19" s="1">
        <v>18</v>
      </c>
      <c r="B19" s="87" t="s">
        <v>471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L19" s="1" t="s">
        <v>455</v>
      </c>
    </row>
    <row r="20" ht="13.5" customHeight="1" spans="1:12" x14ac:dyDescent="0.25">
      <c r="A20" s="1">
        <v>19</v>
      </c>
      <c r="B20" s="87" t="s">
        <v>471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ht="13.5" customHeight="1" spans="1:12" x14ac:dyDescent="0.25">
      <c r="A21" s="1">
        <v>20</v>
      </c>
      <c r="B21" s="87" t="s">
        <v>471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L21" s="1" t="s">
        <v>455</v>
      </c>
    </row>
    <row r="22" ht="13.5" customHeight="1" spans="1:12" x14ac:dyDescent="0.25">
      <c r="A22" s="1">
        <v>21</v>
      </c>
      <c r="B22" s="87" t="s">
        <v>493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L22" s="1" t="s">
        <v>455</v>
      </c>
    </row>
    <row r="23" ht="13.5" customHeight="1" spans="1:12" x14ac:dyDescent="0.25">
      <c r="A23" s="1">
        <v>22</v>
      </c>
      <c r="B23" s="87" t="s">
        <v>493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L23" s="1" t="s">
        <v>455</v>
      </c>
    </row>
    <row r="24" ht="13.5" customHeight="1" spans="1:12" x14ac:dyDescent="0.25">
      <c r="A24" s="1">
        <v>23</v>
      </c>
      <c r="B24" s="87" t="s">
        <v>493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L24" s="1" t="s">
        <v>455</v>
      </c>
    </row>
    <row r="25" ht="13.5" customHeight="1" spans="1:12" x14ac:dyDescent="0.25">
      <c r="A25" s="1">
        <v>24</v>
      </c>
      <c r="B25" s="87" t="s">
        <v>493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L25" s="1" t="s">
        <v>455</v>
      </c>
    </row>
    <row r="26" ht="13.5" customHeight="1" spans="1:12" x14ac:dyDescent="0.25">
      <c r="A26" s="1">
        <v>25</v>
      </c>
      <c r="B26" s="87" t="s">
        <v>493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L26" s="1" t="s">
        <v>455</v>
      </c>
    </row>
    <row r="27" ht="13.5" customHeight="1" spans="1:12" x14ac:dyDescent="0.25">
      <c r="A27" s="1">
        <v>26</v>
      </c>
      <c r="B27" s="87" t="s">
        <v>493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L27" s="1" t="s">
        <v>455</v>
      </c>
    </row>
    <row r="28" ht="13.5" customHeight="1" spans="1:12" x14ac:dyDescent="0.25">
      <c r="A28" s="1">
        <v>27</v>
      </c>
      <c r="B28" s="87" t="s">
        <v>493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ht="13.5" customHeight="1" spans="1:12" x14ac:dyDescent="0.25">
      <c r="A29" s="1">
        <v>28</v>
      </c>
      <c r="B29" s="87" t="s">
        <v>493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ht="13.5" customHeight="1" spans="1:12" x14ac:dyDescent="0.25">
      <c r="A30" s="1">
        <v>29</v>
      </c>
      <c r="B30" s="87" t="s">
        <v>513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>
        <v>1</v>
      </c>
      <c r="L30" s="1" t="s">
        <v>455</v>
      </c>
    </row>
    <row r="31" ht="13.5" customHeight="1" spans="1:12" x14ac:dyDescent="0.25">
      <c r="A31" s="1">
        <v>30</v>
      </c>
      <c r="B31" s="87" t="s">
        <v>513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ht="13.5" customHeight="1" spans="1:12" x14ac:dyDescent="0.25">
      <c r="A32" s="1">
        <v>31</v>
      </c>
      <c r="B32" s="87" t="s">
        <v>513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>
        <v>1</v>
      </c>
      <c r="L32" s="1" t="s">
        <v>455</v>
      </c>
    </row>
    <row r="33" ht="13.5" customHeight="1" spans="1:12" x14ac:dyDescent="0.25">
      <c r="A33" s="1">
        <v>32</v>
      </c>
      <c r="B33" s="87" t="s">
        <v>513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ht="13.5" customHeight="1" spans="1:12" x14ac:dyDescent="0.25">
      <c r="A34" s="1">
        <v>33</v>
      </c>
      <c r="B34" s="87" t="s">
        <v>513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ht="13.5" customHeight="1" spans="1:12" x14ac:dyDescent="0.25">
      <c r="A35" s="1">
        <v>34</v>
      </c>
      <c r="B35" s="87" t="s">
        <v>513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ht="13.5" customHeight="1" spans="1:12" x14ac:dyDescent="0.25">
      <c r="A36" s="1">
        <v>35</v>
      </c>
      <c r="B36" s="87" t="s">
        <v>513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>
        <v>1</v>
      </c>
      <c r="L36" s="1" t="s">
        <v>455</v>
      </c>
    </row>
    <row r="37" ht="13.5" customHeight="1" spans="1:12" x14ac:dyDescent="0.25">
      <c r="A37" s="1">
        <v>36</v>
      </c>
      <c r="B37" s="87" t="s">
        <v>513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ht="13.5" customHeight="1" spans="1:10" x14ac:dyDescent="0.25">
      <c r="A38" s="1">
        <v>37</v>
      </c>
      <c r="B38" s="87" t="s">
        <v>524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524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ht="13.5" customHeight="1" spans="1:12" x14ac:dyDescent="0.25">
      <c r="A40" s="1">
        <v>39</v>
      </c>
      <c r="B40" s="87" t="s">
        <v>524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>
        <v>1</v>
      </c>
      <c r="L40" s="1" t="s">
        <v>455</v>
      </c>
    </row>
    <row r="41" ht="13.5" customHeight="1" spans="1:12" x14ac:dyDescent="0.25">
      <c r="A41" s="1">
        <v>40</v>
      </c>
      <c r="B41" s="87" t="s">
        <v>524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ht="13.5" customHeight="1" spans="1:12" x14ac:dyDescent="0.25">
      <c r="A42" s="1">
        <v>41</v>
      </c>
      <c r="B42" s="87" t="s">
        <v>524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ht="13.5" customHeight="1" spans="1:12" x14ac:dyDescent="0.25">
      <c r="A43" s="1">
        <v>42</v>
      </c>
      <c r="B43" s="87" t="s">
        <v>524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ht="13.5" customHeight="1" spans="1:12" x14ac:dyDescent="0.25">
      <c r="A44" s="1">
        <v>43</v>
      </c>
      <c r="B44" s="87" t="s">
        <v>524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ht="13.5" customHeight="1" spans="1:12" x14ac:dyDescent="0.25">
      <c r="A45" s="1">
        <v>44</v>
      </c>
      <c r="B45" s="87" t="s">
        <v>535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ht="13.5" customHeight="1" spans="1:12" x14ac:dyDescent="0.25">
      <c r="A46" s="1">
        <v>45</v>
      </c>
      <c r="B46" s="87" t="s">
        <v>535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ht="13.5" customHeight="1" spans="1:12" x14ac:dyDescent="0.25">
      <c r="A47" s="1">
        <v>46</v>
      </c>
      <c r="B47" s="87" t="s">
        <v>535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ht="13.5" customHeight="1" spans="1:12" x14ac:dyDescent="0.25">
      <c r="A48" s="1">
        <v>47</v>
      </c>
      <c r="B48" s="87" t="s">
        <v>535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ht="13.5" customHeight="1" spans="1:12" x14ac:dyDescent="0.25">
      <c r="A49" s="1">
        <v>48</v>
      </c>
      <c r="B49" s="87" t="s">
        <v>535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ht="13.5" customHeight="1" spans="1:12" x14ac:dyDescent="0.25">
      <c r="A50" s="1">
        <v>49</v>
      </c>
      <c r="B50" s="87" t="s">
        <v>535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ht="13.5" customHeight="1" spans="1:12" x14ac:dyDescent="0.25">
      <c r="A51" s="1">
        <v>50</v>
      </c>
      <c r="B51" s="87" t="s">
        <v>535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ht="13.5" customHeight="1" spans="1:12" x14ac:dyDescent="0.25">
      <c r="A52" s="1">
        <v>51</v>
      </c>
      <c r="B52" s="87" t="s">
        <v>535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ht="13.5" customHeight="1" spans="1:12" x14ac:dyDescent="0.25">
      <c r="A53" s="1">
        <v>52</v>
      </c>
      <c r="B53" s="87" t="s">
        <v>535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ht="13.5" customHeight="1" spans="1:12" x14ac:dyDescent="0.25">
      <c r="A54" s="1">
        <v>53</v>
      </c>
      <c r="B54" s="87" t="s">
        <v>535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ht="13.5" customHeight="1" spans="1:12" x14ac:dyDescent="0.25">
      <c r="A55" s="1">
        <v>54</v>
      </c>
      <c r="B55" s="87" t="s">
        <v>545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ht="13.5" customHeight="1" spans="1:12" x14ac:dyDescent="0.25">
      <c r="A56" s="1">
        <v>55</v>
      </c>
      <c r="B56" s="87" t="s">
        <v>545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ht="13.5" customHeight="1" spans="1:12" x14ac:dyDescent="0.25">
      <c r="A57" s="1">
        <v>56</v>
      </c>
      <c r="B57" s="87" t="s">
        <v>545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ht="13.5" customHeight="1" spans="1:12" x14ac:dyDescent="0.25">
      <c r="A58" s="1">
        <v>57</v>
      </c>
      <c r="B58" s="87" t="s">
        <v>545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ht="13.5" customHeight="1" spans="1:12" x14ac:dyDescent="0.25">
      <c r="A59" s="1">
        <v>58</v>
      </c>
      <c r="B59" s="87" t="s">
        <v>545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ht="13.5" customHeight="1" spans="1:12" x14ac:dyDescent="0.25">
      <c r="A60" s="1">
        <v>59</v>
      </c>
      <c r="B60" s="87" t="s">
        <v>545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ht="13.5" customHeight="1" spans="1:12" x14ac:dyDescent="0.25">
      <c r="A61" s="1">
        <v>60</v>
      </c>
      <c r="B61" s="87" t="s">
        <v>545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ht="13.5" customHeight="1" spans="1:12" x14ac:dyDescent="0.25">
      <c r="A62" s="1">
        <v>61</v>
      </c>
      <c r="B62" s="87" t="s">
        <v>545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ht="13.5" customHeight="1" spans="1:12" x14ac:dyDescent="0.25">
      <c r="A63" s="1">
        <v>62</v>
      </c>
      <c r="B63" s="87" t="s">
        <v>545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ht="13.5" customHeight="1" spans="1:12" x14ac:dyDescent="0.25">
      <c r="A64" s="1">
        <v>63</v>
      </c>
      <c r="B64" s="87" t="s">
        <v>545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ht="13.5" customHeight="1" spans="1:12" x14ac:dyDescent="0.25">
      <c r="A65" s="1">
        <v>64</v>
      </c>
      <c r="B65" s="87" t="s">
        <v>549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ht="13.5" customHeight="1" spans="1:12" x14ac:dyDescent="0.25">
      <c r="A66" s="1">
        <v>65</v>
      </c>
      <c r="B66" s="87" t="s">
        <v>549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ht="13.5" customHeight="1" spans="1:12" x14ac:dyDescent="0.25">
      <c r="A67" s="1">
        <v>66</v>
      </c>
      <c r="B67" s="87" t="s">
        <v>549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ht="13.5" customHeight="1" spans="1:12" x14ac:dyDescent="0.25">
      <c r="A68" s="1">
        <v>67</v>
      </c>
      <c r="B68" s="87" t="s">
        <v>549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ht="13.5" customHeight="1" spans="1:12" x14ac:dyDescent="0.25">
      <c r="A69" s="1">
        <v>68</v>
      </c>
      <c r="B69" s="87" t="s">
        <v>549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ht="13.5" customHeight="1" spans="1:12" x14ac:dyDescent="0.25">
      <c r="A70" s="1">
        <v>69</v>
      </c>
      <c r="B70" s="87" t="s">
        <v>549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ht="13.5" customHeight="1" spans="1:12" x14ac:dyDescent="0.25">
      <c r="A71" s="1">
        <v>70</v>
      </c>
      <c r="B71" s="87" t="s">
        <v>549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ht="13.5" customHeight="1" spans="1:12" x14ac:dyDescent="0.25">
      <c r="A72" s="1">
        <v>71</v>
      </c>
      <c r="B72" s="87" t="s">
        <v>549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ht="13.5" customHeight="1" spans="1:12" x14ac:dyDescent="0.25">
      <c r="A73" s="1">
        <v>72</v>
      </c>
      <c r="B73" s="87" t="s">
        <v>549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ht="13.5" customHeight="1" spans="1:12" x14ac:dyDescent="0.25">
      <c r="A74" s="1">
        <v>73</v>
      </c>
      <c r="B74" s="87" t="s">
        <v>559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ht="13.5" customHeight="1" spans="1:12" x14ac:dyDescent="0.25">
      <c r="A75" s="1">
        <v>74</v>
      </c>
      <c r="B75" s="87" t="s">
        <v>559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ht="13.5" customHeight="1" spans="1:12" x14ac:dyDescent="0.25">
      <c r="A76" s="1">
        <v>75</v>
      </c>
      <c r="B76" s="87" t="s">
        <v>559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ht="13.5" customHeight="1" spans="1:12" x14ac:dyDescent="0.25">
      <c r="A77" s="1">
        <v>76</v>
      </c>
      <c r="B77" s="87" t="s">
        <v>559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ht="13.5" customHeight="1" spans="1:12" x14ac:dyDescent="0.25">
      <c r="A78" s="1">
        <v>77</v>
      </c>
      <c r="B78" s="87" t="s">
        <v>559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ht="13.5" customHeight="1" spans="1:12" x14ac:dyDescent="0.25">
      <c r="A79" s="1">
        <v>78</v>
      </c>
      <c r="B79" s="87" t="s">
        <v>559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ht="13.5" customHeight="1" spans="1:12" x14ac:dyDescent="0.25">
      <c r="A80" s="1">
        <v>79</v>
      </c>
      <c r="B80" s="87" t="s">
        <v>559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ht="13.5" customHeight="1" spans="1:12" x14ac:dyDescent="0.25">
      <c r="A81" s="1">
        <v>80</v>
      </c>
      <c r="B81" s="87" t="s">
        <v>559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ht="13.5" customHeight="1" spans="1:12" x14ac:dyDescent="0.25">
      <c r="A82" s="1">
        <v>81</v>
      </c>
      <c r="B82" s="87" t="s">
        <v>559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ht="13.5" customHeight="1" spans="1:12" x14ac:dyDescent="0.25">
      <c r="A83" s="1">
        <v>82</v>
      </c>
      <c r="B83" s="87" t="s">
        <v>565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ht="13.5" customHeight="1" spans="1:12" x14ac:dyDescent="0.25">
      <c r="A84" s="1">
        <v>83</v>
      </c>
      <c r="B84" s="87" t="s">
        <v>565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ht="13.5" customHeight="1" spans="1:12" x14ac:dyDescent="0.25">
      <c r="A85" s="1">
        <v>84</v>
      </c>
      <c r="B85" s="87" t="s">
        <v>565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ht="13.5" customHeight="1" spans="1:12" x14ac:dyDescent="0.25">
      <c r="A86" s="1">
        <v>85</v>
      </c>
      <c r="B86" s="87" t="s">
        <v>565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ht="13.5" customHeight="1" spans="1:12" x14ac:dyDescent="0.25">
      <c r="A87" s="1">
        <v>86</v>
      </c>
      <c r="B87" s="87" t="s">
        <v>565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ht="13.5" customHeight="1" spans="1:12" x14ac:dyDescent="0.25">
      <c r="A88" s="1">
        <v>87</v>
      </c>
      <c r="B88" s="87" t="s">
        <v>565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ht="13.5" customHeight="1" spans="1:12" x14ac:dyDescent="0.25">
      <c r="A89" s="1">
        <v>88</v>
      </c>
      <c r="B89" s="87" t="s">
        <v>565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ht="13.5" customHeight="1" spans="1:12" x14ac:dyDescent="0.25">
      <c r="A90" s="1">
        <v>89</v>
      </c>
      <c r="B90" s="87" t="s">
        <v>565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ht="13.5" customHeight="1" spans="1:12" x14ac:dyDescent="0.25">
      <c r="A91" s="1">
        <v>90</v>
      </c>
      <c r="B91" s="87" t="s">
        <v>565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ht="13.5" customHeight="1" spans="1:12" x14ac:dyDescent="0.25">
      <c r="A92" s="1">
        <v>91</v>
      </c>
      <c r="B92" s="87" t="s">
        <v>565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ht="13.5" customHeight="1" spans="1:12" x14ac:dyDescent="0.25">
      <c r="A93" s="1">
        <v>92</v>
      </c>
      <c r="B93" s="87" t="s">
        <v>578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ht="13.5" customHeight="1" spans="1:12" x14ac:dyDescent="0.25">
      <c r="A94" s="1">
        <v>93</v>
      </c>
      <c r="B94" s="87" t="s">
        <v>578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ht="13.5" customHeight="1" spans="1:12" x14ac:dyDescent="0.25">
      <c r="A95" s="1">
        <v>94</v>
      </c>
      <c r="B95" s="87" t="s">
        <v>578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ht="13.5" customHeight="1" spans="1:12" x14ac:dyDescent="0.25">
      <c r="A96" s="1">
        <v>957</v>
      </c>
      <c r="B96" s="87" t="s">
        <v>578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ht="13.5" customHeight="1" spans="1:12" x14ac:dyDescent="0.25">
      <c r="A97" s="1">
        <v>96</v>
      </c>
      <c r="B97" s="87" t="s">
        <v>578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ht="13.5" customHeight="1" spans="1:12" x14ac:dyDescent="0.25">
      <c r="A98" s="1">
        <v>97</v>
      </c>
      <c r="B98" s="87" t="s">
        <v>578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ht="13.5" customHeight="1" spans="1:12" x14ac:dyDescent="0.25">
      <c r="A99" s="1">
        <v>98</v>
      </c>
      <c r="B99" s="87" t="s">
        <v>578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ht="13.5" customHeight="1" spans="1:12" x14ac:dyDescent="0.25">
      <c r="A100" s="1">
        <v>99</v>
      </c>
      <c r="B100" s="87" t="s">
        <v>578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ht="13.5" customHeight="1" spans="1:12" x14ac:dyDescent="0.25">
      <c r="A101" s="1">
        <v>100</v>
      </c>
      <c r="B101" s="87" t="s">
        <v>578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ht="13.5" customHeight="1" spans="1:12" x14ac:dyDescent="0.25">
      <c r="A102" s="1">
        <v>101</v>
      </c>
      <c r="B102" s="87" t="s">
        <v>587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ht="13.5" customHeight="1" spans="1:12" x14ac:dyDescent="0.25">
      <c r="A103" s="1">
        <v>102</v>
      </c>
      <c r="B103" s="87" t="s">
        <v>587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ht="13.5" customHeight="1" spans="1:12" x14ac:dyDescent="0.25">
      <c r="A104" s="1">
        <v>103</v>
      </c>
      <c r="B104" s="87" t="s">
        <v>587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ht="13.5" customHeight="1" spans="1:12" x14ac:dyDescent="0.25">
      <c r="A105" s="1">
        <v>104</v>
      </c>
      <c r="B105" s="87" t="s">
        <v>587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ht="13.5" customHeight="1" spans="1:12" x14ac:dyDescent="0.25">
      <c r="A106" s="1">
        <v>105</v>
      </c>
      <c r="B106" s="87" t="s">
        <v>587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ht="13.5" customHeight="1" spans="1:12" x14ac:dyDescent="0.25">
      <c r="A107" s="1">
        <v>106</v>
      </c>
      <c r="B107" s="87" t="s">
        <v>587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ht="13.5" customHeight="1" spans="1:12" x14ac:dyDescent="0.25">
      <c r="A108" s="1">
        <v>107</v>
      </c>
      <c r="B108" s="87" t="s">
        <v>587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L108" s="1" t="s">
        <v>455</v>
      </c>
    </row>
    <row r="109" ht="13.5" customHeight="1" spans="1:12" x14ac:dyDescent="0.25">
      <c r="A109" s="1">
        <v>108</v>
      </c>
      <c r="B109" s="87" t="s">
        <v>587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L109" s="1" t="s">
        <v>455</v>
      </c>
    </row>
    <row r="110" ht="13.5" customHeight="1" spans="1:12" x14ac:dyDescent="0.25">
      <c r="A110" s="1">
        <v>109</v>
      </c>
      <c r="B110" s="87" t="s">
        <v>587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ht="13.5" customHeight="1" spans="1:12" x14ac:dyDescent="0.25">
      <c r="A111" s="1">
        <v>110</v>
      </c>
      <c r="B111" s="87" t="s">
        <v>587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ht="13.5" customHeight="1" spans="1:12" x14ac:dyDescent="0.25">
      <c r="A112" s="1">
        <v>111</v>
      </c>
      <c r="B112" s="87" t="s">
        <v>592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ht="13.5" customHeight="1" spans="1:12" x14ac:dyDescent="0.25">
      <c r="A113" s="1">
        <v>112</v>
      </c>
      <c r="B113" s="87" t="s">
        <v>592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L113" s="1" t="s">
        <v>455</v>
      </c>
    </row>
    <row r="114" ht="13.5" customHeight="1" spans="1:12" x14ac:dyDescent="0.25">
      <c r="A114" s="1">
        <v>113</v>
      </c>
      <c r="B114" s="87" t="s">
        <v>592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L114" s="1" t="s">
        <v>455</v>
      </c>
    </row>
    <row r="115" ht="13.5" customHeight="1" spans="1:12" x14ac:dyDescent="0.25">
      <c r="A115" s="1">
        <v>114</v>
      </c>
      <c r="B115" s="87" t="s">
        <v>592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ht="13.5" customHeight="1" spans="1:12" x14ac:dyDescent="0.25">
      <c r="A116" s="1">
        <v>115</v>
      </c>
      <c r="B116" s="87" t="s">
        <v>592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ht="13.5" customHeight="1" spans="1:12" x14ac:dyDescent="0.25">
      <c r="A117" s="1">
        <v>116</v>
      </c>
      <c r="B117" s="87" t="s">
        <v>592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ht="13.5" customHeight="1" spans="1:12" x14ac:dyDescent="0.25">
      <c r="A118" s="1">
        <v>117</v>
      </c>
      <c r="B118" s="87" t="s">
        <v>592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ht="13.5" customHeight="1" spans="1:12" x14ac:dyDescent="0.25">
      <c r="A119" s="1">
        <v>118</v>
      </c>
      <c r="B119" s="87" t="s">
        <v>592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ht="13.5" customHeight="1" spans="1:12" x14ac:dyDescent="0.25">
      <c r="A120" s="1">
        <v>119</v>
      </c>
      <c r="B120" s="87" t="s">
        <v>592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ht="13.5" customHeight="1" spans="1:12" x14ac:dyDescent="0.25">
      <c r="A121" s="1">
        <v>120</v>
      </c>
      <c r="B121" s="87" t="s">
        <v>592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ht="13.5" customHeight="1" spans="1:12" x14ac:dyDescent="0.25">
      <c r="A122" s="1">
        <v>121</v>
      </c>
      <c r="B122" s="87" t="s">
        <v>601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ht="13.5" customHeight="1" spans="1:12" x14ac:dyDescent="0.25">
      <c r="A123" s="1">
        <v>122</v>
      </c>
      <c r="B123" s="87" t="s">
        <v>601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ht="13.5" customHeight="1" spans="1:12" x14ac:dyDescent="0.25">
      <c r="A124" s="1">
        <v>123</v>
      </c>
      <c r="B124" s="87" t="s">
        <v>601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ht="13.5" customHeight="1" spans="1:12" x14ac:dyDescent="0.25">
      <c r="A125" s="1">
        <v>124</v>
      </c>
      <c r="B125" s="87" t="s">
        <v>601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ht="13.5" customHeight="1" spans="1:12" x14ac:dyDescent="0.25">
      <c r="A126" s="1">
        <v>125</v>
      </c>
      <c r="B126" s="87" t="s">
        <v>601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ht="13.5" customHeight="1" spans="1:12" x14ac:dyDescent="0.25">
      <c r="A127" s="1">
        <v>126</v>
      </c>
      <c r="B127" s="87" t="s">
        <v>601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ht="13.5" customHeight="1" spans="1:12" x14ac:dyDescent="0.25">
      <c r="A128" s="1">
        <v>127</v>
      </c>
      <c r="B128" s="87" t="s">
        <v>601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ht="13.5" customHeight="1" spans="1:12" x14ac:dyDescent="0.25">
      <c r="A129" s="1">
        <v>128</v>
      </c>
      <c r="B129" s="87" t="s">
        <v>601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ht="13.5" customHeight="1" spans="1:12" x14ac:dyDescent="0.25">
      <c r="A130" s="1">
        <v>129</v>
      </c>
      <c r="B130" s="87" t="s">
        <v>601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L130" s="1" t="s">
        <v>455</v>
      </c>
    </row>
    <row r="131" ht="13.5" customHeight="1" spans="1:12" x14ac:dyDescent="0.25">
      <c r="A131" s="1">
        <v>130</v>
      </c>
      <c r="B131" s="87" t="s">
        <v>609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ht="13.5" customHeight="1" spans="1:12" x14ac:dyDescent="0.25">
      <c r="A132" s="1">
        <v>131</v>
      </c>
      <c r="B132" s="87" t="s">
        <v>609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ht="13.5" customHeight="1" spans="1:12" x14ac:dyDescent="0.25">
      <c r="A133" s="1">
        <v>132</v>
      </c>
      <c r="B133" s="87" t="s">
        <v>609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ht="13.5" customHeight="1" spans="1:12" x14ac:dyDescent="0.25">
      <c r="A134" s="1">
        <v>133</v>
      </c>
      <c r="B134" s="87" t="s">
        <v>609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ht="13.5" customHeight="1" spans="1:12" x14ac:dyDescent="0.25">
      <c r="A135" s="1">
        <v>134</v>
      </c>
      <c r="B135" s="87" t="s">
        <v>609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L135" s="1" t="s">
        <v>455</v>
      </c>
    </row>
    <row r="136" ht="13.5" customHeight="1" spans="1:12" x14ac:dyDescent="0.25">
      <c r="A136" s="1">
        <v>135</v>
      </c>
      <c r="B136" s="87" t="s">
        <v>609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L136" s="1" t="s">
        <v>455</v>
      </c>
    </row>
    <row r="137" ht="13.5" customHeight="1" spans="1:12" x14ac:dyDescent="0.25">
      <c r="A137" s="1">
        <v>136</v>
      </c>
      <c r="B137" s="87" t="s">
        <v>609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L137" s="1" t="s">
        <v>455</v>
      </c>
    </row>
    <row r="138" ht="13.5" customHeight="1" spans="1:12" x14ac:dyDescent="0.25">
      <c r="A138" s="1">
        <v>137</v>
      </c>
      <c r="B138" s="87" t="s">
        <v>609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ht="13.5" customHeight="1" spans="1:12" x14ac:dyDescent="0.25">
      <c r="A139" s="1">
        <v>138</v>
      </c>
      <c r="B139" s="87" t="s">
        <v>620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ht="13.5" customHeight="1" spans="1:12" x14ac:dyDescent="0.25">
      <c r="A140" s="1">
        <v>139</v>
      </c>
      <c r="B140" s="87" t="s">
        <v>620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ht="13.5" customHeight="1" spans="1:12" x14ac:dyDescent="0.25">
      <c r="A141" s="1">
        <v>140</v>
      </c>
      <c r="B141" s="87" t="s">
        <v>620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ht="13.5" customHeight="1" spans="1:12" x14ac:dyDescent="0.25">
      <c r="A142" s="1">
        <v>141</v>
      </c>
      <c r="B142" s="87" t="s">
        <v>620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ht="13.5" customHeight="1" spans="1:12" x14ac:dyDescent="0.25">
      <c r="A143" s="1">
        <v>142</v>
      </c>
      <c r="B143" s="87" t="s">
        <v>620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ht="13.5" customHeight="1" spans="1:12" x14ac:dyDescent="0.25">
      <c r="A144" s="1">
        <v>143</v>
      </c>
      <c r="B144" s="87" t="s">
        <v>620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ht="13.5" customHeight="1" spans="1:9" x14ac:dyDescent="0.25">
      <c r="A145" s="1">
        <v>144</v>
      </c>
      <c r="B145" s="87" t="s">
        <v>620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620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ht="13.5" customHeight="1" spans="1:12" x14ac:dyDescent="0.25">
      <c r="A147" s="1">
        <v>146</v>
      </c>
      <c r="B147" s="87" t="s">
        <v>620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ht="13.5" customHeight="1" spans="1:12" x14ac:dyDescent="0.25">
      <c r="A148" s="1">
        <v>147</v>
      </c>
      <c r="B148" s="87" t="s">
        <v>620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ht="13.5" customHeight="1" spans="1:12" x14ac:dyDescent="0.25">
      <c r="A149" s="1">
        <v>148</v>
      </c>
      <c r="B149" s="87" t="s">
        <v>620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ht="13.5" customHeight="1" spans="1:12" x14ac:dyDescent="0.25">
      <c r="A150" s="1">
        <v>149</v>
      </c>
      <c r="B150" s="87" t="s">
        <v>620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L150" s="1" t="s">
        <v>455</v>
      </c>
    </row>
    <row r="151" ht="13.5" customHeight="1" spans="1:12" x14ac:dyDescent="0.25">
      <c r="A151" s="1">
        <v>150</v>
      </c>
      <c r="B151" s="87" t="s">
        <v>620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ht="13.5" customHeight="1" spans="1:12" x14ac:dyDescent="0.25">
      <c r="A152" s="1">
        <v>151</v>
      </c>
      <c r="B152" s="87" t="s">
        <v>620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ht="13.5" customHeight="1" spans="1:12" x14ac:dyDescent="0.25">
      <c r="A153" s="1">
        <v>152</v>
      </c>
      <c r="B153" s="87" t="s">
        <v>620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608</v>
      </c>
      <c r="F155" s="1" t="s">
        <v>287</v>
      </c>
      <c r="G155" s="1" t="s">
        <v>526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432</v>
      </c>
      <c r="F156" s="1" t="s">
        <v>218</v>
      </c>
      <c r="H156" s="1" t="s">
        <v>631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ht="14.25" customHeight="1" spans="1:12" x14ac:dyDescent="0.25">
      <c r="A2" s="1">
        <v>1</v>
      </c>
      <c r="B2" s="87" t="s">
        <v>452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 t="s">
        <v>632</v>
      </c>
      <c r="L2" s="1" t="s">
        <v>455</v>
      </c>
    </row>
    <row r="3" ht="14.25" customHeight="1" spans="1:12" x14ac:dyDescent="0.25">
      <c r="A3" s="1">
        <v>2</v>
      </c>
      <c r="B3" s="87" t="s">
        <v>452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 t="s">
        <v>632</v>
      </c>
      <c r="L3" s="1" t="s">
        <v>455</v>
      </c>
    </row>
    <row r="4" ht="14.25" customHeight="1" spans="1:12" x14ac:dyDescent="0.25">
      <c r="A4" s="1">
        <v>3</v>
      </c>
      <c r="B4" s="87" t="s">
        <v>452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ht="14.25" customHeight="1" spans="1:12" x14ac:dyDescent="0.25">
      <c r="A5" s="1">
        <v>4</v>
      </c>
      <c r="B5" s="87" t="s">
        <v>452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 t="s">
        <v>633</v>
      </c>
      <c r="L5" s="1" t="s">
        <v>455</v>
      </c>
    </row>
    <row r="6" ht="14.25" customHeight="1" spans="1:12" x14ac:dyDescent="0.25">
      <c r="A6" s="1">
        <v>5</v>
      </c>
      <c r="B6" s="87" t="s">
        <v>452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ht="14.25" customHeight="1" spans="1:12" x14ac:dyDescent="0.25">
      <c r="A7" s="1">
        <v>6</v>
      </c>
      <c r="B7" s="87" t="s">
        <v>452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 t="s">
        <v>632</v>
      </c>
      <c r="L7" s="1" t="s">
        <v>455</v>
      </c>
    </row>
    <row r="8" ht="14.25" customHeight="1" spans="1:12" x14ac:dyDescent="0.25">
      <c r="A8" s="1">
        <v>7</v>
      </c>
      <c r="B8" s="87" t="s">
        <v>452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 t="s">
        <v>634</v>
      </c>
      <c r="L8" s="1" t="s">
        <v>455</v>
      </c>
    </row>
    <row r="9" ht="14.25" customHeight="1" spans="1:12" x14ac:dyDescent="0.25">
      <c r="A9" s="1">
        <v>8</v>
      </c>
      <c r="B9" s="87" t="s">
        <v>452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ht="14.25" customHeight="1" spans="1:12" x14ac:dyDescent="0.25">
      <c r="A10" s="1">
        <v>9</v>
      </c>
      <c r="B10" s="87" t="s">
        <v>452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ht="14.25" customHeight="1" spans="1:12" x14ac:dyDescent="0.25">
      <c r="A11" s="1">
        <v>10</v>
      </c>
      <c r="B11" s="87" t="s">
        <v>452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ht="14.25" customHeight="1" spans="1:12" x14ac:dyDescent="0.25">
      <c r="A12" s="1">
        <v>11</v>
      </c>
      <c r="B12" s="87" t="s">
        <v>471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ht="14.25" customHeight="1" spans="1:12" x14ac:dyDescent="0.25">
      <c r="A13" s="1">
        <v>12</v>
      </c>
      <c r="B13" s="87" t="s">
        <v>471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ht="14.25" customHeight="1" spans="1:12" x14ac:dyDescent="0.25">
      <c r="A14" s="1">
        <v>13</v>
      </c>
      <c r="B14" s="87" t="s">
        <v>471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 t="s">
        <v>635</v>
      </c>
      <c r="L14" s="1" t="s">
        <v>455</v>
      </c>
    </row>
    <row r="15" ht="14.25" customHeight="1" spans="1:12" x14ac:dyDescent="0.25">
      <c r="A15" s="1">
        <v>14</v>
      </c>
      <c r="B15" s="87" t="s">
        <v>471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 t="s">
        <v>632</v>
      </c>
      <c r="L15" s="1" t="s">
        <v>455</v>
      </c>
    </row>
    <row r="16" ht="14.25" customHeight="1" spans="1:12" x14ac:dyDescent="0.25">
      <c r="A16" s="1">
        <v>15</v>
      </c>
      <c r="B16" s="87" t="s">
        <v>471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ht="14.25" customHeight="1" spans="1:12" x14ac:dyDescent="0.25">
      <c r="A17" s="1">
        <v>16</v>
      </c>
      <c r="B17" s="87" t="s">
        <v>471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ht="14.25" customHeight="1" spans="1:12" x14ac:dyDescent="0.25">
      <c r="A18" s="1">
        <v>17</v>
      </c>
      <c r="B18" s="87" t="s">
        <v>471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ht="14.25" customHeight="1" spans="1:12" x14ac:dyDescent="0.25">
      <c r="A19" s="1">
        <v>18</v>
      </c>
      <c r="B19" s="87" t="s">
        <v>471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K19" s="1" t="s">
        <v>636</v>
      </c>
      <c r="L19" s="1" t="s">
        <v>455</v>
      </c>
    </row>
    <row r="20" ht="14.25" customHeight="1" spans="1:12" x14ac:dyDescent="0.25">
      <c r="A20" s="1">
        <v>19</v>
      </c>
      <c r="B20" s="87" t="s">
        <v>471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ht="14.25" customHeight="1" spans="1:12" x14ac:dyDescent="0.25">
      <c r="A21" s="1">
        <v>20</v>
      </c>
      <c r="B21" s="87" t="s">
        <v>471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K21" s="1" t="s">
        <v>637</v>
      </c>
      <c r="L21" s="1" t="s">
        <v>455</v>
      </c>
    </row>
    <row r="22" ht="14.25" customHeight="1" spans="1:12" x14ac:dyDescent="0.25">
      <c r="A22" s="1">
        <v>21</v>
      </c>
      <c r="B22" s="87" t="s">
        <v>493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K22" s="1" t="s">
        <v>638</v>
      </c>
      <c r="L22" s="1" t="s">
        <v>455</v>
      </c>
    </row>
    <row r="23" ht="14.25" customHeight="1" spans="1:12" x14ac:dyDescent="0.25">
      <c r="A23" s="1">
        <v>22</v>
      </c>
      <c r="B23" s="87" t="s">
        <v>493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K23" s="1" t="s">
        <v>639</v>
      </c>
      <c r="L23" s="1" t="s">
        <v>455</v>
      </c>
    </row>
    <row r="24" ht="14.25" customHeight="1" spans="1:12" x14ac:dyDescent="0.25">
      <c r="A24" s="1">
        <v>23</v>
      </c>
      <c r="B24" s="87" t="s">
        <v>493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K24" s="1" t="s">
        <v>640</v>
      </c>
      <c r="L24" s="1" t="s">
        <v>455</v>
      </c>
    </row>
    <row r="25" ht="14.25" customHeight="1" spans="1:12" x14ac:dyDescent="0.25">
      <c r="A25" s="1">
        <v>24</v>
      </c>
      <c r="B25" s="87" t="s">
        <v>493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K25" s="1" t="s">
        <v>641</v>
      </c>
      <c r="L25" s="1" t="s">
        <v>455</v>
      </c>
    </row>
    <row r="26" ht="14.25" customHeight="1" spans="1:12" x14ac:dyDescent="0.25">
      <c r="A26" s="1">
        <v>25</v>
      </c>
      <c r="B26" s="87" t="s">
        <v>493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K26" s="1" t="s">
        <v>642</v>
      </c>
      <c r="L26" s="1" t="s">
        <v>455</v>
      </c>
    </row>
    <row r="27" ht="14.25" customHeight="1" spans="1:12" x14ac:dyDescent="0.25">
      <c r="A27" s="1">
        <v>26</v>
      </c>
      <c r="B27" s="87" t="s">
        <v>493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K27" s="1" t="s">
        <v>643</v>
      </c>
      <c r="L27" s="1" t="s">
        <v>455</v>
      </c>
    </row>
    <row r="28" ht="14.25" customHeight="1" spans="1:12" x14ac:dyDescent="0.25">
      <c r="A28" s="1">
        <v>27</v>
      </c>
      <c r="B28" s="87" t="s">
        <v>493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ht="14.25" customHeight="1" spans="1:12" x14ac:dyDescent="0.25">
      <c r="A29" s="1">
        <v>28</v>
      </c>
      <c r="B29" s="87" t="s">
        <v>493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ht="14.25" customHeight="1" spans="1:12" x14ac:dyDescent="0.25">
      <c r="A30" s="1">
        <v>29</v>
      </c>
      <c r="B30" s="87" t="s">
        <v>513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 t="s">
        <v>632</v>
      </c>
      <c r="L30" s="1" t="s">
        <v>455</v>
      </c>
    </row>
    <row r="31" ht="14.25" customHeight="1" spans="1:12" x14ac:dyDescent="0.25">
      <c r="A31" s="1">
        <v>30</v>
      </c>
      <c r="B31" s="87" t="s">
        <v>513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ht="14.25" customHeight="1" spans="1:12" x14ac:dyDescent="0.25">
      <c r="A32" s="1">
        <v>31</v>
      </c>
      <c r="B32" s="87" t="s">
        <v>513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 t="s">
        <v>632</v>
      </c>
      <c r="L32" s="1" t="s">
        <v>455</v>
      </c>
    </row>
    <row r="33" ht="14.25" customHeight="1" spans="1:12" x14ac:dyDescent="0.25">
      <c r="A33" s="1">
        <v>32</v>
      </c>
      <c r="B33" s="87" t="s">
        <v>513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ht="14.25" customHeight="1" spans="1:12" x14ac:dyDescent="0.25">
      <c r="A34" s="1">
        <v>33</v>
      </c>
      <c r="B34" s="87" t="s">
        <v>513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ht="14.25" customHeight="1" spans="1:12" x14ac:dyDescent="0.25">
      <c r="A35" s="1">
        <v>34</v>
      </c>
      <c r="B35" s="87" t="s">
        <v>513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ht="14.25" customHeight="1" spans="1:12" x14ac:dyDescent="0.25">
      <c r="A36" s="1">
        <v>35</v>
      </c>
      <c r="B36" s="87" t="s">
        <v>513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 t="s">
        <v>632</v>
      </c>
      <c r="L36" s="1" t="s">
        <v>455</v>
      </c>
    </row>
    <row r="37" ht="14.25" customHeight="1" spans="1:12" x14ac:dyDescent="0.25">
      <c r="A37" s="1">
        <v>36</v>
      </c>
      <c r="B37" s="87" t="s">
        <v>513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ht="14.25" customHeight="1" spans="1:11" x14ac:dyDescent="0.25">
      <c r="A38" s="1">
        <v>37</v>
      </c>
      <c r="B38" s="87" t="s">
        <v>524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  <c r="K38" s="1" t="s">
        <v>644</v>
      </c>
    </row>
    <row r="39" ht="14.25" customHeight="1" spans="1:12" x14ac:dyDescent="0.25">
      <c r="A39" s="1">
        <v>38</v>
      </c>
      <c r="B39" s="87" t="s">
        <v>524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ht="14.25" customHeight="1" spans="1:12" x14ac:dyDescent="0.25">
      <c r="A40" s="1">
        <v>39</v>
      </c>
      <c r="B40" s="87" t="s">
        <v>524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 t="s">
        <v>632</v>
      </c>
      <c r="L40" s="1" t="s">
        <v>455</v>
      </c>
    </row>
    <row r="41" ht="14.25" customHeight="1" spans="1:12" x14ac:dyDescent="0.25">
      <c r="A41" s="1">
        <v>40</v>
      </c>
      <c r="B41" s="87" t="s">
        <v>524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ht="14.25" customHeight="1" spans="1:12" x14ac:dyDescent="0.25">
      <c r="A42" s="1">
        <v>41</v>
      </c>
      <c r="B42" s="87" t="s">
        <v>524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ht="14.25" customHeight="1" spans="1:12" x14ac:dyDescent="0.25">
      <c r="A43" s="1">
        <v>42</v>
      </c>
      <c r="B43" s="87" t="s">
        <v>524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ht="14.25" customHeight="1" spans="1:12" x14ac:dyDescent="0.25">
      <c r="A44" s="1">
        <v>43</v>
      </c>
      <c r="B44" s="87" t="s">
        <v>524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ht="14.25" customHeight="1" spans="1:12" x14ac:dyDescent="0.25">
      <c r="A45" s="1">
        <v>44</v>
      </c>
      <c r="B45" s="87" t="s">
        <v>535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ht="14.25" customHeight="1" spans="1:12" x14ac:dyDescent="0.25">
      <c r="A46" s="1">
        <v>45</v>
      </c>
      <c r="B46" s="87" t="s">
        <v>535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ht="14.25" customHeight="1" spans="1:12" x14ac:dyDescent="0.25">
      <c r="A47" s="1">
        <v>46</v>
      </c>
      <c r="B47" s="87" t="s">
        <v>535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ht="14.25" customHeight="1" spans="1:12" x14ac:dyDescent="0.25">
      <c r="A48" s="1">
        <v>47</v>
      </c>
      <c r="B48" s="87" t="s">
        <v>535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ht="14.25" customHeight="1" spans="1:12" x14ac:dyDescent="0.25">
      <c r="A49" s="1">
        <v>48</v>
      </c>
      <c r="B49" s="87" t="s">
        <v>535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ht="14.25" customHeight="1" spans="1:12" x14ac:dyDescent="0.25">
      <c r="A50" s="1">
        <v>49</v>
      </c>
      <c r="B50" s="87" t="s">
        <v>535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ht="14.25" customHeight="1" spans="1:12" x14ac:dyDescent="0.25">
      <c r="A51" s="1">
        <v>50</v>
      </c>
      <c r="B51" s="87" t="s">
        <v>535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ht="14.25" customHeight="1" spans="1:12" x14ac:dyDescent="0.25">
      <c r="A52" s="1">
        <v>51</v>
      </c>
      <c r="B52" s="87" t="s">
        <v>535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ht="14.25" customHeight="1" spans="1:12" x14ac:dyDescent="0.25">
      <c r="A53" s="1">
        <v>52</v>
      </c>
      <c r="B53" s="87" t="s">
        <v>535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ht="14.25" customHeight="1" spans="1:12" x14ac:dyDescent="0.25">
      <c r="A54" s="1">
        <v>53</v>
      </c>
      <c r="B54" s="87" t="s">
        <v>535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ht="14.25" customHeight="1" spans="1:12" x14ac:dyDescent="0.25">
      <c r="A55" s="1">
        <v>54</v>
      </c>
      <c r="B55" s="87" t="s">
        <v>545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ht="14.25" customHeight="1" spans="1:12" x14ac:dyDescent="0.25">
      <c r="A56" s="1">
        <v>55</v>
      </c>
      <c r="B56" s="87" t="s">
        <v>545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ht="14.25" customHeight="1" spans="1:12" x14ac:dyDescent="0.25">
      <c r="A57" s="1">
        <v>56</v>
      </c>
      <c r="B57" s="87" t="s">
        <v>545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ht="14.25" customHeight="1" spans="1:12" x14ac:dyDescent="0.25">
      <c r="A58" s="1">
        <v>57</v>
      </c>
      <c r="B58" s="87" t="s">
        <v>545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ht="14.25" customHeight="1" spans="1:12" x14ac:dyDescent="0.25">
      <c r="A59" s="1">
        <v>58</v>
      </c>
      <c r="B59" s="87" t="s">
        <v>545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ht="14.25" customHeight="1" spans="1:12" x14ac:dyDescent="0.25">
      <c r="A60" s="1">
        <v>59</v>
      </c>
      <c r="B60" s="87" t="s">
        <v>545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ht="14.25" customHeight="1" spans="1:12" x14ac:dyDescent="0.25">
      <c r="A61" s="1">
        <v>60</v>
      </c>
      <c r="B61" s="87" t="s">
        <v>545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ht="14.25" customHeight="1" spans="1:12" x14ac:dyDescent="0.25">
      <c r="A62" s="1">
        <v>61</v>
      </c>
      <c r="B62" s="87" t="s">
        <v>545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ht="14.25" customHeight="1" spans="1:12" x14ac:dyDescent="0.25">
      <c r="A63" s="1">
        <v>62</v>
      </c>
      <c r="B63" s="87" t="s">
        <v>545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ht="14.25" customHeight="1" spans="1:12" x14ac:dyDescent="0.25">
      <c r="A64" s="1">
        <v>63</v>
      </c>
      <c r="B64" s="87" t="s">
        <v>545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ht="14.25" customHeight="1" spans="1:12" x14ac:dyDescent="0.25">
      <c r="A65" s="1">
        <v>64</v>
      </c>
      <c r="B65" s="87" t="s">
        <v>549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ht="14.25" customHeight="1" spans="1:12" x14ac:dyDescent="0.25">
      <c r="A66" s="1">
        <v>65</v>
      </c>
      <c r="B66" s="87" t="s">
        <v>549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ht="14.25" customHeight="1" spans="1:12" x14ac:dyDescent="0.25">
      <c r="A67" s="1">
        <v>66</v>
      </c>
      <c r="B67" s="87" t="s">
        <v>549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ht="14.25" customHeight="1" spans="1:12" x14ac:dyDescent="0.25">
      <c r="A68" s="1">
        <v>67</v>
      </c>
      <c r="B68" s="87" t="s">
        <v>549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ht="14.25" customHeight="1" spans="1:12" x14ac:dyDescent="0.25">
      <c r="A69" s="1">
        <v>68</v>
      </c>
      <c r="B69" s="87" t="s">
        <v>549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ht="14.25" customHeight="1" spans="1:12" x14ac:dyDescent="0.25">
      <c r="A70" s="1">
        <v>69</v>
      </c>
      <c r="B70" s="87" t="s">
        <v>549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ht="14.25" customHeight="1" spans="1:12" x14ac:dyDescent="0.25">
      <c r="A71" s="1">
        <v>70</v>
      </c>
      <c r="B71" s="87" t="s">
        <v>549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ht="14.25" customHeight="1" spans="1:12" x14ac:dyDescent="0.25">
      <c r="A72" s="1">
        <v>71</v>
      </c>
      <c r="B72" s="87" t="s">
        <v>549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ht="14.25" customHeight="1" spans="1:12" x14ac:dyDescent="0.25">
      <c r="A73" s="1">
        <v>72</v>
      </c>
      <c r="B73" s="87" t="s">
        <v>549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ht="14.25" customHeight="1" spans="1:12" x14ac:dyDescent="0.25">
      <c r="A74" s="1">
        <v>73</v>
      </c>
      <c r="B74" s="87" t="s">
        <v>559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ht="14.25" customHeight="1" spans="1:12" x14ac:dyDescent="0.25">
      <c r="A75" s="1">
        <v>74</v>
      </c>
      <c r="B75" s="87" t="s">
        <v>559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ht="14.25" customHeight="1" spans="1:12" x14ac:dyDescent="0.25">
      <c r="A76" s="1">
        <v>75</v>
      </c>
      <c r="B76" s="87" t="s">
        <v>559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ht="14.25" customHeight="1" spans="1:12" x14ac:dyDescent="0.25">
      <c r="A77" s="1">
        <v>76</v>
      </c>
      <c r="B77" s="87" t="s">
        <v>559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ht="14.25" customHeight="1" spans="1:12" x14ac:dyDescent="0.25">
      <c r="A78" s="1">
        <v>77</v>
      </c>
      <c r="B78" s="87" t="s">
        <v>559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ht="14.25" customHeight="1" spans="1:12" x14ac:dyDescent="0.25">
      <c r="A79" s="1">
        <v>78</v>
      </c>
      <c r="B79" s="87" t="s">
        <v>559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ht="14.25" customHeight="1" spans="1:12" x14ac:dyDescent="0.25">
      <c r="A80" s="1">
        <v>79</v>
      </c>
      <c r="B80" s="87" t="s">
        <v>559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ht="14.25" customHeight="1" spans="1:12" x14ac:dyDescent="0.25">
      <c r="A81" s="1">
        <v>80</v>
      </c>
      <c r="B81" s="87" t="s">
        <v>559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ht="14.25" customHeight="1" spans="1:12" x14ac:dyDescent="0.25">
      <c r="A82" s="1">
        <v>81</v>
      </c>
      <c r="B82" s="87" t="s">
        <v>559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ht="14.25" customHeight="1" spans="1:12" x14ac:dyDescent="0.25">
      <c r="A83" s="1">
        <v>82</v>
      </c>
      <c r="B83" s="87" t="s">
        <v>565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ht="14.25" customHeight="1" spans="1:12" x14ac:dyDescent="0.25">
      <c r="A84" s="1">
        <v>83</v>
      </c>
      <c r="B84" s="87" t="s">
        <v>565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ht="14.25" customHeight="1" spans="1:12" x14ac:dyDescent="0.25">
      <c r="A85" s="1">
        <v>84</v>
      </c>
      <c r="B85" s="87" t="s">
        <v>565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ht="14.25" customHeight="1" spans="1:12" x14ac:dyDescent="0.25">
      <c r="A86" s="1">
        <v>85</v>
      </c>
      <c r="B86" s="87" t="s">
        <v>565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ht="14.25" customHeight="1" spans="1:12" x14ac:dyDescent="0.25">
      <c r="A87" s="1">
        <v>86</v>
      </c>
      <c r="B87" s="87" t="s">
        <v>565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ht="14.25" customHeight="1" spans="1:12" x14ac:dyDescent="0.25">
      <c r="A88" s="1">
        <v>87</v>
      </c>
      <c r="B88" s="87" t="s">
        <v>565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ht="14.25" customHeight="1" spans="1:12" x14ac:dyDescent="0.25">
      <c r="A89" s="1">
        <v>88</v>
      </c>
      <c r="B89" s="87" t="s">
        <v>565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ht="14.25" customHeight="1" spans="1:12" x14ac:dyDescent="0.25">
      <c r="A90" s="1">
        <v>89</v>
      </c>
      <c r="B90" s="87" t="s">
        <v>565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ht="14.25" customHeight="1" spans="1:12" x14ac:dyDescent="0.25">
      <c r="A91" s="1">
        <v>90</v>
      </c>
      <c r="B91" s="87" t="s">
        <v>565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ht="14.25" customHeight="1" spans="1:12" x14ac:dyDescent="0.25">
      <c r="A92" s="1">
        <v>91</v>
      </c>
      <c r="B92" s="87" t="s">
        <v>565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ht="14.25" customHeight="1" spans="1:12" x14ac:dyDescent="0.25">
      <c r="A93" s="1">
        <v>92</v>
      </c>
      <c r="B93" s="87" t="s">
        <v>578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ht="14.25" customHeight="1" spans="1:12" x14ac:dyDescent="0.25">
      <c r="A94" s="1">
        <v>93</v>
      </c>
      <c r="B94" s="87" t="s">
        <v>578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ht="14.25" customHeight="1" spans="1:12" x14ac:dyDescent="0.25">
      <c r="A95" s="1">
        <v>94</v>
      </c>
      <c r="B95" s="87" t="s">
        <v>578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ht="14.25" customHeight="1" spans="1:12" x14ac:dyDescent="0.25">
      <c r="A96" s="1">
        <v>957</v>
      </c>
      <c r="B96" s="87" t="s">
        <v>578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ht="14.25" customHeight="1" spans="1:12" x14ac:dyDescent="0.25">
      <c r="A97" s="1">
        <v>96</v>
      </c>
      <c r="B97" s="87" t="s">
        <v>578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ht="14.25" customHeight="1" spans="1:12" x14ac:dyDescent="0.25">
      <c r="A98" s="1">
        <v>97</v>
      </c>
      <c r="B98" s="87" t="s">
        <v>578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ht="14.25" customHeight="1" spans="1:12" x14ac:dyDescent="0.25">
      <c r="A99" s="1">
        <v>98</v>
      </c>
      <c r="B99" s="87" t="s">
        <v>578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ht="14.25" customHeight="1" spans="1:12" x14ac:dyDescent="0.25">
      <c r="A100" s="1">
        <v>99</v>
      </c>
      <c r="B100" s="87" t="s">
        <v>578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ht="14.25" customHeight="1" spans="1:12" x14ac:dyDescent="0.25">
      <c r="A101" s="1">
        <v>100</v>
      </c>
      <c r="B101" s="87" t="s">
        <v>578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ht="14.25" customHeight="1" spans="1:12" x14ac:dyDescent="0.25">
      <c r="A102" s="1">
        <v>101</v>
      </c>
      <c r="B102" s="87" t="s">
        <v>587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ht="14.25" customHeight="1" spans="1:12" x14ac:dyDescent="0.25">
      <c r="A103" s="1">
        <v>102</v>
      </c>
      <c r="B103" s="87" t="s">
        <v>587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ht="14.25" customHeight="1" spans="1:12" x14ac:dyDescent="0.25">
      <c r="A104" s="1">
        <v>103</v>
      </c>
      <c r="B104" s="87" t="s">
        <v>587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ht="14.25" customHeight="1" spans="1:12" x14ac:dyDescent="0.25">
      <c r="A105" s="1">
        <v>104</v>
      </c>
      <c r="B105" s="87" t="s">
        <v>587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ht="14.25" customHeight="1" spans="1:12" x14ac:dyDescent="0.25">
      <c r="A106" s="1">
        <v>105</v>
      </c>
      <c r="B106" s="87" t="s">
        <v>587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ht="14.25" customHeight="1" spans="1:12" x14ac:dyDescent="0.25">
      <c r="A107" s="1">
        <v>106</v>
      </c>
      <c r="B107" s="87" t="s">
        <v>587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ht="14.25" customHeight="1" spans="1:12" x14ac:dyDescent="0.25">
      <c r="A108" s="1">
        <v>107</v>
      </c>
      <c r="B108" s="87" t="s">
        <v>587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K108" s="1" t="s">
        <v>645</v>
      </c>
      <c r="L108" s="1" t="s">
        <v>455</v>
      </c>
    </row>
    <row r="109" ht="14.25" customHeight="1" spans="1:12" x14ac:dyDescent="0.25">
      <c r="A109" s="1">
        <v>108</v>
      </c>
      <c r="B109" s="87" t="s">
        <v>587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K109" s="1" t="s">
        <v>646</v>
      </c>
      <c r="L109" s="1" t="s">
        <v>455</v>
      </c>
    </row>
    <row r="110" ht="14.25" customHeight="1" spans="1:12" x14ac:dyDescent="0.25">
      <c r="A110" s="1">
        <v>109</v>
      </c>
      <c r="B110" s="87" t="s">
        <v>587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ht="14.25" customHeight="1" spans="1:12" x14ac:dyDescent="0.25">
      <c r="A111" s="1">
        <v>110</v>
      </c>
      <c r="B111" s="87" t="s">
        <v>587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ht="14.25" customHeight="1" spans="1:12" x14ac:dyDescent="0.25">
      <c r="A112" s="1">
        <v>111</v>
      </c>
      <c r="B112" s="87" t="s">
        <v>592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ht="14.25" customHeight="1" spans="1:12" x14ac:dyDescent="0.25">
      <c r="A113" s="1">
        <v>112</v>
      </c>
      <c r="B113" s="87" t="s">
        <v>592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K113" s="1" t="s">
        <v>647</v>
      </c>
      <c r="L113" s="1" t="s">
        <v>455</v>
      </c>
    </row>
    <row r="114" ht="14.25" customHeight="1" spans="1:12" x14ac:dyDescent="0.25">
      <c r="A114" s="1">
        <v>113</v>
      </c>
      <c r="B114" s="87" t="s">
        <v>592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K114" s="1" t="s">
        <v>648</v>
      </c>
      <c r="L114" s="1" t="s">
        <v>455</v>
      </c>
    </row>
    <row r="115" ht="14.25" customHeight="1" spans="1:12" x14ac:dyDescent="0.25">
      <c r="A115" s="1">
        <v>114</v>
      </c>
      <c r="B115" s="87" t="s">
        <v>592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ht="14.25" customHeight="1" spans="1:12" x14ac:dyDescent="0.25">
      <c r="A116" s="1">
        <v>115</v>
      </c>
      <c r="B116" s="87" t="s">
        <v>592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ht="14.25" customHeight="1" spans="1:12" x14ac:dyDescent="0.25">
      <c r="A117" s="1">
        <v>116</v>
      </c>
      <c r="B117" s="87" t="s">
        <v>592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ht="14.25" customHeight="1" spans="1:12" x14ac:dyDescent="0.25">
      <c r="A118" s="1">
        <v>117</v>
      </c>
      <c r="B118" s="87" t="s">
        <v>592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ht="14.25" customHeight="1" spans="1:12" x14ac:dyDescent="0.25">
      <c r="A119" s="1">
        <v>118</v>
      </c>
      <c r="B119" s="87" t="s">
        <v>592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ht="14.25" customHeight="1" spans="1:12" x14ac:dyDescent="0.25">
      <c r="A120" s="1">
        <v>119</v>
      </c>
      <c r="B120" s="87" t="s">
        <v>592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ht="14.25" customHeight="1" spans="1:12" x14ac:dyDescent="0.25">
      <c r="A121" s="1">
        <v>120</v>
      </c>
      <c r="B121" s="87" t="s">
        <v>592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ht="14.25" customHeight="1" spans="1:12" x14ac:dyDescent="0.25">
      <c r="A122" s="1">
        <v>121</v>
      </c>
      <c r="B122" s="87" t="s">
        <v>601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ht="14.25" customHeight="1" spans="1:12" x14ac:dyDescent="0.25">
      <c r="A123" s="1">
        <v>122</v>
      </c>
      <c r="B123" s="87" t="s">
        <v>601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ht="14.25" customHeight="1" spans="1:12" x14ac:dyDescent="0.25">
      <c r="A124" s="1">
        <v>123</v>
      </c>
      <c r="B124" s="87" t="s">
        <v>601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ht="14.25" customHeight="1" spans="1:12" x14ac:dyDescent="0.25">
      <c r="A125" s="1">
        <v>124</v>
      </c>
      <c r="B125" s="87" t="s">
        <v>601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ht="14.25" customHeight="1" spans="1:12" x14ac:dyDescent="0.25">
      <c r="A126" s="1">
        <v>125</v>
      </c>
      <c r="B126" s="87" t="s">
        <v>601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ht="14.25" customHeight="1" spans="1:12" x14ac:dyDescent="0.25">
      <c r="A127" s="1">
        <v>126</v>
      </c>
      <c r="B127" s="87" t="s">
        <v>601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ht="14.25" customHeight="1" spans="1:12" x14ac:dyDescent="0.25">
      <c r="A128" s="1">
        <v>127</v>
      </c>
      <c r="B128" s="87" t="s">
        <v>601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ht="14.25" customHeight="1" spans="1:12" x14ac:dyDescent="0.25">
      <c r="A129" s="1">
        <v>128</v>
      </c>
      <c r="B129" s="87" t="s">
        <v>601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ht="14.25" customHeight="1" spans="1:12" x14ac:dyDescent="0.25">
      <c r="A130" s="1">
        <v>129</v>
      </c>
      <c r="B130" s="87" t="s">
        <v>601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K130" s="1" t="s">
        <v>649</v>
      </c>
      <c r="L130" s="1" t="s">
        <v>455</v>
      </c>
    </row>
    <row r="131" ht="14.25" customHeight="1" spans="1:12" x14ac:dyDescent="0.25">
      <c r="A131" s="1">
        <v>130</v>
      </c>
      <c r="B131" s="87" t="s">
        <v>609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ht="14.25" customHeight="1" spans="1:12" x14ac:dyDescent="0.25">
      <c r="A132" s="1">
        <v>131</v>
      </c>
      <c r="B132" s="87" t="s">
        <v>609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ht="14.25" customHeight="1" spans="1:12" x14ac:dyDescent="0.25">
      <c r="A133" s="1">
        <v>132</v>
      </c>
      <c r="B133" s="87" t="s">
        <v>609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ht="14.25" customHeight="1" spans="1:12" x14ac:dyDescent="0.25">
      <c r="A134" s="1">
        <v>133</v>
      </c>
      <c r="B134" s="87" t="s">
        <v>609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ht="14.25" customHeight="1" spans="1:12" x14ac:dyDescent="0.25">
      <c r="A135" s="1">
        <v>134</v>
      </c>
      <c r="B135" s="87" t="s">
        <v>609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K135" s="1" t="s">
        <v>650</v>
      </c>
      <c r="L135" s="1" t="s">
        <v>455</v>
      </c>
    </row>
    <row r="136" ht="14.25" customHeight="1" spans="1:12" x14ac:dyDescent="0.25">
      <c r="A136" s="1">
        <v>135</v>
      </c>
      <c r="B136" s="87" t="s">
        <v>609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K136" s="1" t="s">
        <v>651</v>
      </c>
      <c r="L136" s="1" t="s">
        <v>455</v>
      </c>
    </row>
    <row r="137" ht="14.25" customHeight="1" spans="1:12" x14ac:dyDescent="0.25">
      <c r="A137" s="1">
        <v>136</v>
      </c>
      <c r="B137" s="87" t="s">
        <v>609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K137" s="1" t="s">
        <v>652</v>
      </c>
      <c r="L137" s="1" t="s">
        <v>455</v>
      </c>
    </row>
    <row r="138" ht="14.25" customHeight="1" spans="1:12" x14ac:dyDescent="0.25">
      <c r="A138" s="1">
        <v>137</v>
      </c>
      <c r="B138" s="87" t="s">
        <v>609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ht="14.25" customHeight="1" spans="1:12" x14ac:dyDescent="0.25">
      <c r="A139" s="1">
        <v>138</v>
      </c>
      <c r="B139" s="87" t="s">
        <v>620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ht="14.25" customHeight="1" spans="1:12" x14ac:dyDescent="0.25">
      <c r="A140" s="1">
        <v>139</v>
      </c>
      <c r="B140" s="87" t="s">
        <v>620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ht="14.25" customHeight="1" spans="1:12" x14ac:dyDescent="0.25">
      <c r="A141" s="1">
        <v>140</v>
      </c>
      <c r="B141" s="87" t="s">
        <v>620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ht="14.25" customHeight="1" spans="1:12" x14ac:dyDescent="0.25">
      <c r="A142" s="1">
        <v>141</v>
      </c>
      <c r="B142" s="87" t="s">
        <v>620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ht="14.25" customHeight="1" spans="1:12" x14ac:dyDescent="0.25">
      <c r="A143" s="1">
        <v>142</v>
      </c>
      <c r="B143" s="87" t="s">
        <v>620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ht="14.25" customHeight="1" spans="1:12" x14ac:dyDescent="0.25">
      <c r="A144" s="1">
        <v>143</v>
      </c>
      <c r="B144" s="87" t="s">
        <v>620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ht="14.25" customHeight="1" spans="1:11" x14ac:dyDescent="0.25">
      <c r="A145" s="1">
        <v>144</v>
      </c>
      <c r="B145" s="87" t="s">
        <v>620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  <c r="K145" s="1" t="s">
        <v>455</v>
      </c>
    </row>
    <row r="146" ht="14.25" customHeight="1" spans="1:12" x14ac:dyDescent="0.25">
      <c r="A146" s="1">
        <v>145</v>
      </c>
      <c r="B146" s="87" t="s">
        <v>620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ht="14.25" customHeight="1" spans="1:12" x14ac:dyDescent="0.25">
      <c r="A147" s="1">
        <v>146</v>
      </c>
      <c r="B147" s="87" t="s">
        <v>620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ht="14.25" customHeight="1" spans="1:12" x14ac:dyDescent="0.25">
      <c r="A148" s="1">
        <v>147</v>
      </c>
      <c r="B148" s="87" t="s">
        <v>620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ht="14.25" customHeight="1" spans="1:12" x14ac:dyDescent="0.25">
      <c r="A149" s="1">
        <v>148</v>
      </c>
      <c r="B149" s="87" t="s">
        <v>620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ht="14.25" customHeight="1" spans="1:12" x14ac:dyDescent="0.25">
      <c r="A150" s="1">
        <v>149</v>
      </c>
      <c r="B150" s="87" t="s">
        <v>620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K150" s="1" t="s">
        <v>653</v>
      </c>
      <c r="L150" s="1" t="s">
        <v>455</v>
      </c>
    </row>
    <row r="151" ht="14.25" customHeight="1" spans="1:12" x14ac:dyDescent="0.25">
      <c r="A151" s="1">
        <v>150</v>
      </c>
      <c r="B151" s="87" t="s">
        <v>620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ht="14.25" customHeight="1" spans="1:12" x14ac:dyDescent="0.25">
      <c r="A152" s="1">
        <v>151</v>
      </c>
      <c r="B152" s="87" t="s">
        <v>620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ht="14.25" customHeight="1" spans="1:12" x14ac:dyDescent="0.25">
      <c r="A153" s="1">
        <v>152</v>
      </c>
      <c r="B153" s="87" t="s">
        <v>620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441</v>
      </c>
      <c r="B1" s="1" t="s">
        <v>58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446</v>
      </c>
      <c r="I1" s="1" t="s">
        <v>659</v>
      </c>
      <c r="J1" s="94" t="s">
        <v>660</v>
      </c>
      <c r="K1" s="1" t="s">
        <v>661</v>
      </c>
      <c r="L1" s="1" t="s">
        <v>662</v>
      </c>
      <c r="M1" s="95" t="s">
        <v>663</v>
      </c>
      <c r="N1" s="1" t="s">
        <v>664</v>
      </c>
      <c r="O1" s="1" t="s">
        <v>665</v>
      </c>
      <c r="P1" s="1" t="s">
        <v>666</v>
      </c>
    </row>
    <row r="2" ht="13.5" customHeight="1" spans="1:15" x14ac:dyDescent="0.25">
      <c r="A2" s="1">
        <v>1</v>
      </c>
      <c r="B2" s="1" t="s">
        <v>667</v>
      </c>
      <c r="C2" s="1" t="s">
        <v>668</v>
      </c>
      <c r="D2" s="1">
        <v>1</v>
      </c>
      <c r="E2" s="2">
        <v>46170</v>
      </c>
      <c r="F2" s="1" t="s">
        <v>669</v>
      </c>
      <c r="G2" s="1" t="s">
        <v>670</v>
      </c>
      <c r="H2" s="1" t="s">
        <v>462</v>
      </c>
      <c r="I2" s="2">
        <v>46174</v>
      </c>
      <c r="J2" s="94">
        <v>2</v>
      </c>
      <c r="K2" s="1" t="s">
        <v>671</v>
      </c>
      <c r="L2" s="2">
        <v>46175</v>
      </c>
      <c r="M2" s="95">
        <v>46176</v>
      </c>
      <c r="N2" s="1" t="s">
        <v>672</v>
      </c>
      <c r="O2" s="1" t="s">
        <v>673</v>
      </c>
    </row>
    <row r="3" ht="13.5" customHeight="1" spans="1:15" x14ac:dyDescent="0.25">
      <c r="A3" s="1">
        <v>2</v>
      </c>
      <c r="B3" s="1" t="s">
        <v>517</v>
      </c>
      <c r="C3" s="1" t="s">
        <v>668</v>
      </c>
      <c r="D3" s="1">
        <v>2</v>
      </c>
      <c r="E3" s="2">
        <v>46184</v>
      </c>
      <c r="F3" s="96" t="s">
        <v>674</v>
      </c>
      <c r="G3" s="1" t="s">
        <v>675</v>
      </c>
      <c r="H3" s="1" t="s">
        <v>462</v>
      </c>
      <c r="I3" s="2">
        <v>46174</v>
      </c>
      <c r="J3" s="94">
        <v>1</v>
      </c>
      <c r="K3" s="1" t="s">
        <v>676</v>
      </c>
      <c r="L3" s="2">
        <v>46174</v>
      </c>
      <c r="M3" s="95">
        <v>46175</v>
      </c>
      <c r="N3" s="1" t="s">
        <v>673</v>
      </c>
      <c r="O3" s="1" t="s">
        <v>677</v>
      </c>
    </row>
    <row r="4" ht="13.5" customHeight="1" spans="1:15" x14ac:dyDescent="0.25">
      <c r="A4" s="1">
        <v>3</v>
      </c>
      <c r="B4" s="1" t="s">
        <v>568</v>
      </c>
      <c r="C4" s="1" t="s">
        <v>668</v>
      </c>
      <c r="D4" s="1">
        <v>3</v>
      </c>
      <c r="E4" s="2">
        <v>46157</v>
      </c>
      <c r="F4" s="1" t="s">
        <v>678</v>
      </c>
      <c r="G4" s="1" t="s">
        <v>679</v>
      </c>
      <c r="H4" s="1" t="s">
        <v>680</v>
      </c>
      <c r="I4" s="2">
        <v>46160</v>
      </c>
      <c r="J4" s="94">
        <v>5</v>
      </c>
      <c r="K4" s="1" t="s">
        <v>681</v>
      </c>
      <c r="L4" s="2">
        <v>46164</v>
      </c>
      <c r="M4" s="95">
        <v>46165</v>
      </c>
      <c r="N4" s="1" t="s">
        <v>673</v>
      </c>
      <c r="O4" s="1" t="s">
        <v>673</v>
      </c>
    </row>
    <row r="5" ht="13.5" customHeight="1" spans="1:15" x14ac:dyDescent="0.25">
      <c r="A5" s="1">
        <v>4</v>
      </c>
      <c r="B5" s="1" t="s">
        <v>330</v>
      </c>
      <c r="C5" s="1" t="s">
        <v>668</v>
      </c>
      <c r="D5" s="1">
        <v>4</v>
      </c>
      <c r="E5" s="2">
        <v>46168</v>
      </c>
      <c r="F5" s="1" t="s">
        <v>332</v>
      </c>
      <c r="G5" s="1" t="s">
        <v>682</v>
      </c>
      <c r="H5" s="1" t="s">
        <v>683</v>
      </c>
      <c r="I5" s="2">
        <v>46169</v>
      </c>
      <c r="J5" s="94">
        <v>15</v>
      </c>
      <c r="K5" s="1" t="s">
        <v>671</v>
      </c>
      <c r="L5" s="2">
        <v>46183</v>
      </c>
      <c r="M5" s="95">
        <v>46184</v>
      </c>
      <c r="N5" s="1" t="s">
        <v>673</v>
      </c>
      <c r="O5" s="1" t="s">
        <v>673</v>
      </c>
    </row>
    <row r="6" ht="13.5" customHeight="1" spans="1:15" x14ac:dyDescent="0.25">
      <c r="A6" s="1">
        <v>5</v>
      </c>
      <c r="B6" s="1"/>
      <c r="C6" s="1" t="s">
        <v>668</v>
      </c>
      <c r="D6" s="1">
        <v>5</v>
      </c>
      <c r="E6" s="2">
        <v>46174</v>
      </c>
      <c r="F6" s="89" t="s">
        <v>152</v>
      </c>
      <c r="G6" s="1" t="s">
        <v>684</v>
      </c>
      <c r="H6" s="1" t="s">
        <v>685</v>
      </c>
      <c r="I6" s="2">
        <v>46174</v>
      </c>
      <c r="J6" s="94">
        <v>15</v>
      </c>
      <c r="K6" s="1" t="s">
        <v>676</v>
      </c>
      <c r="L6" s="2">
        <v>46188</v>
      </c>
      <c r="M6" s="95">
        <v>46038</v>
      </c>
      <c r="N6" s="1" t="s">
        <v>673</v>
      </c>
      <c r="O6" s="1" t="s">
        <v>677</v>
      </c>
    </row>
    <row r="7" ht="13.5" customHeight="1" spans="1:15" x14ac:dyDescent="0.25">
      <c r="A7" s="1">
        <v>6</v>
      </c>
      <c r="B7" s="1"/>
      <c r="C7" s="1" t="s">
        <v>668</v>
      </c>
      <c r="D7" s="1">
        <v>6</v>
      </c>
      <c r="E7" s="2">
        <v>46174</v>
      </c>
      <c r="F7" s="89" t="s">
        <v>124</v>
      </c>
      <c r="G7" s="1" t="s">
        <v>686</v>
      </c>
      <c r="H7" s="1" t="s">
        <v>687</v>
      </c>
      <c r="I7" s="2">
        <v>46174</v>
      </c>
      <c r="J7" s="94">
        <v>15</v>
      </c>
      <c r="K7" s="1" t="s">
        <v>676</v>
      </c>
      <c r="L7" s="2">
        <v>46188</v>
      </c>
      <c r="M7" s="95">
        <v>46189</v>
      </c>
      <c r="N7" s="1" t="s">
        <v>673</v>
      </c>
      <c r="O7" s="1" t="s">
        <v>677</v>
      </c>
    </row>
    <row r="8" ht="13.5" customHeight="1" spans="1:15" x14ac:dyDescent="0.25">
      <c r="A8" s="1">
        <v>7</v>
      </c>
      <c r="B8" s="1" t="s">
        <v>688</v>
      </c>
      <c r="C8" s="1" t="s">
        <v>668</v>
      </c>
      <c r="D8" s="1">
        <v>7</v>
      </c>
      <c r="E8" s="2">
        <v>46160</v>
      </c>
      <c r="F8" s="1" t="s">
        <v>689</v>
      </c>
      <c r="G8" s="1" t="s">
        <v>690</v>
      </c>
      <c r="H8" s="1" t="s">
        <v>502</v>
      </c>
      <c r="I8" s="2">
        <v>46174</v>
      </c>
      <c r="J8" s="94">
        <v>1</v>
      </c>
      <c r="K8" s="1" t="s">
        <v>676</v>
      </c>
      <c r="L8" s="2">
        <v>46174</v>
      </c>
      <c r="M8" s="95">
        <v>46175</v>
      </c>
      <c r="N8" s="1" t="s">
        <v>691</v>
      </c>
      <c r="O8" s="1" t="s">
        <v>673</v>
      </c>
    </row>
    <row r="9" ht="13.5" customHeight="1" spans="1:15" x14ac:dyDescent="0.25">
      <c r="A9" s="1">
        <v>8</v>
      </c>
      <c r="B9" s="1"/>
      <c r="C9" s="1" t="s">
        <v>668</v>
      </c>
      <c r="D9" s="1">
        <v>8</v>
      </c>
      <c r="E9" s="2">
        <v>46153</v>
      </c>
      <c r="F9" s="89" t="s">
        <v>365</v>
      </c>
      <c r="G9" s="1" t="s">
        <v>692</v>
      </c>
      <c r="H9" s="1" t="s">
        <v>693</v>
      </c>
      <c r="I9" s="2">
        <v>46153</v>
      </c>
      <c r="J9" s="94">
        <v>15</v>
      </c>
      <c r="K9" s="1" t="s">
        <v>676</v>
      </c>
      <c r="L9" s="2">
        <v>46167</v>
      </c>
      <c r="M9" s="95">
        <v>46168</v>
      </c>
      <c r="N9" s="1" t="s">
        <v>673</v>
      </c>
      <c r="O9" s="1" t="s">
        <v>673</v>
      </c>
    </row>
    <row r="10" ht="13.5" customHeight="1" spans="1:15" x14ac:dyDescent="0.25">
      <c r="A10" s="1">
        <v>9</v>
      </c>
      <c r="B10" s="1"/>
      <c r="C10" s="1" t="s">
        <v>668</v>
      </c>
      <c r="D10" s="1">
        <v>9</v>
      </c>
      <c r="E10" s="2">
        <v>46153</v>
      </c>
      <c r="F10" s="89" t="s">
        <v>375</v>
      </c>
      <c r="G10" s="1" t="s">
        <v>692</v>
      </c>
      <c r="H10" s="1" t="s">
        <v>694</v>
      </c>
      <c r="I10" s="2">
        <v>46153</v>
      </c>
      <c r="J10" s="94">
        <v>15</v>
      </c>
      <c r="K10" s="1" t="s">
        <v>676</v>
      </c>
      <c r="L10" s="2">
        <v>46167</v>
      </c>
      <c r="M10" s="95">
        <v>46168</v>
      </c>
      <c r="N10" s="1" t="s">
        <v>673</v>
      </c>
      <c r="O10" s="1" t="s">
        <v>673</v>
      </c>
    </row>
    <row r="11" ht="13.5" customHeight="1" spans="1:15" x14ac:dyDescent="0.25">
      <c r="A11" s="1">
        <v>11</v>
      </c>
      <c r="B11" s="1" t="s">
        <v>695</v>
      </c>
      <c r="C11" s="1" t="s">
        <v>668</v>
      </c>
      <c r="D11" s="1">
        <v>11</v>
      </c>
      <c r="E11" s="2">
        <v>46182</v>
      </c>
      <c r="F11" s="1" t="s">
        <v>696</v>
      </c>
      <c r="G11" s="1" t="s">
        <v>697</v>
      </c>
      <c r="H11" s="1" t="s">
        <v>462</v>
      </c>
      <c r="I11" s="2">
        <v>46174</v>
      </c>
      <c r="J11" s="94">
        <v>0.5</v>
      </c>
      <c r="K11" s="1" t="s">
        <v>698</v>
      </c>
      <c r="L11" s="2">
        <v>46174</v>
      </c>
      <c r="M11" s="95">
        <v>46174</v>
      </c>
      <c r="N11" s="1" t="s">
        <v>673</v>
      </c>
      <c r="O11" s="1" t="s">
        <v>673</v>
      </c>
    </row>
    <row r="12" ht="13.5" customHeight="1" spans="1:15" x14ac:dyDescent="0.25">
      <c r="A12" s="1">
        <v>12</v>
      </c>
      <c r="B12" s="1"/>
      <c r="C12" s="1" t="s">
        <v>668</v>
      </c>
      <c r="D12" s="1">
        <v>12</v>
      </c>
      <c r="E12" s="2">
        <v>46174</v>
      </c>
      <c r="F12" s="89" t="s">
        <v>699</v>
      </c>
      <c r="G12" s="1" t="s">
        <v>700</v>
      </c>
      <c r="H12" s="1" t="s">
        <v>701</v>
      </c>
      <c r="I12" s="2">
        <v>46196</v>
      </c>
      <c r="J12" s="94">
        <v>10</v>
      </c>
      <c r="K12" s="1" t="s">
        <v>676</v>
      </c>
      <c r="L12" s="2">
        <v>46205</v>
      </c>
      <c r="M12" s="95">
        <v>46206</v>
      </c>
      <c r="N12" s="1" t="s">
        <v>702</v>
      </c>
      <c r="O12" s="1" t="s">
        <v>673</v>
      </c>
    </row>
    <row r="13" ht="13.5" customHeight="1" spans="1:15" x14ac:dyDescent="0.25">
      <c r="A13" s="1">
        <v>13</v>
      </c>
      <c r="B13" s="1"/>
      <c r="C13" s="1" t="s">
        <v>668</v>
      </c>
      <c r="D13" s="1">
        <v>13</v>
      </c>
      <c r="E13" s="2">
        <v>46175</v>
      </c>
      <c r="F13" s="89" t="s">
        <v>703</v>
      </c>
      <c r="G13" s="1" t="s">
        <v>700</v>
      </c>
      <c r="H13" s="1" t="s">
        <v>704</v>
      </c>
      <c r="I13" s="2">
        <v>46209</v>
      </c>
      <c r="J13" s="94">
        <v>10</v>
      </c>
      <c r="K13" s="1" t="s">
        <v>676</v>
      </c>
      <c r="L13" s="2">
        <v>46218</v>
      </c>
      <c r="M13" s="95">
        <v>46219</v>
      </c>
      <c r="N13" s="1" t="s">
        <v>702</v>
      </c>
      <c r="O13" s="1" t="s">
        <v>673</v>
      </c>
    </row>
    <row r="14" ht="13.5" customHeight="1" spans="1:15" x14ac:dyDescent="0.25">
      <c r="A14" s="1">
        <v>14</v>
      </c>
      <c r="B14" s="1"/>
      <c r="C14" s="1" t="s">
        <v>668</v>
      </c>
      <c r="D14" s="1">
        <v>14</v>
      </c>
      <c r="E14" s="2">
        <v>46540</v>
      </c>
      <c r="F14" s="89" t="s">
        <v>539</v>
      </c>
      <c r="G14" s="1" t="s">
        <v>700</v>
      </c>
      <c r="H14" s="1" t="s">
        <v>541</v>
      </c>
      <c r="I14" s="2">
        <v>46204</v>
      </c>
      <c r="J14" s="94">
        <v>5</v>
      </c>
      <c r="K14" s="1" t="s">
        <v>676</v>
      </c>
      <c r="L14" s="2">
        <v>46208</v>
      </c>
      <c r="M14" s="95">
        <v>46209</v>
      </c>
      <c r="N14" s="1" t="s">
        <v>705</v>
      </c>
      <c r="O14" s="1" t="s">
        <v>673</v>
      </c>
    </row>
    <row r="15" ht="13.5" customHeight="1" spans="1:15" x14ac:dyDescent="0.25">
      <c r="A15" s="1">
        <v>15</v>
      </c>
      <c r="B15" s="1"/>
      <c r="C15" s="1" t="s">
        <v>668</v>
      </c>
      <c r="D15" s="1">
        <v>15</v>
      </c>
      <c r="E15" s="2">
        <v>46178</v>
      </c>
      <c r="F15" s="89" t="s">
        <v>540</v>
      </c>
      <c r="G15" s="1" t="s">
        <v>700</v>
      </c>
      <c r="H15" s="1" t="s">
        <v>706</v>
      </c>
      <c r="I15" s="2">
        <v>46197</v>
      </c>
      <c r="J15" s="94">
        <v>7</v>
      </c>
      <c r="K15" s="1" t="s">
        <v>518</v>
      </c>
      <c r="L15" s="2">
        <v>46203</v>
      </c>
      <c r="M15" s="95">
        <v>46204</v>
      </c>
      <c r="N15" s="1" t="s">
        <v>707</v>
      </c>
      <c r="O15" s="1" t="s">
        <v>673</v>
      </c>
    </row>
    <row r="16" ht="13.5" customHeight="1" spans="1:16" x14ac:dyDescent="0.25">
      <c r="A16" s="1">
        <v>16</v>
      </c>
      <c r="B16" s="1" t="s">
        <v>478</v>
      </c>
      <c r="C16" s="1" t="s">
        <v>668</v>
      </c>
      <c r="D16" s="1">
        <v>16</v>
      </c>
      <c r="E16" s="2">
        <v>46170</v>
      </c>
      <c r="F16" s="1" t="s">
        <v>580</v>
      </c>
      <c r="G16" s="1" t="s">
        <v>708</v>
      </c>
      <c r="H16" s="1" t="s">
        <v>502</v>
      </c>
      <c r="I16" s="2">
        <v>46175</v>
      </c>
      <c r="J16" s="94">
        <v>0</v>
      </c>
      <c r="K16" s="1" t="s">
        <v>709</v>
      </c>
      <c r="L16" s="2">
        <v>46184</v>
      </c>
      <c r="M16" s="95">
        <v>46185</v>
      </c>
      <c r="N16" s="1" t="s">
        <v>710</v>
      </c>
      <c r="O16" s="1" t="s">
        <v>710</v>
      </c>
      <c r="P16" s="1" t="s">
        <v>710</v>
      </c>
    </row>
    <row r="17" ht="13.5" customHeight="1" spans="1:15" x14ac:dyDescent="0.25">
      <c r="A17" s="1">
        <v>17</v>
      </c>
      <c r="B17" s="1"/>
      <c r="C17" s="1" t="s">
        <v>668</v>
      </c>
      <c r="D17" s="1">
        <v>17</v>
      </c>
      <c r="E17" s="2">
        <v>46125</v>
      </c>
      <c r="F17" s="89" t="s">
        <v>314</v>
      </c>
      <c r="G17" s="1" t="s">
        <v>711</v>
      </c>
      <c r="H17" s="1" t="s">
        <v>712</v>
      </c>
      <c r="I17" s="2">
        <v>46129</v>
      </c>
      <c r="J17" s="94">
        <v>3</v>
      </c>
      <c r="K17" s="1" t="s">
        <v>671</v>
      </c>
      <c r="L17" s="2">
        <v>46131</v>
      </c>
      <c r="M17" s="95">
        <v>46132</v>
      </c>
      <c r="N17" s="1" t="s">
        <v>673</v>
      </c>
      <c r="O17" s="1" t="s">
        <v>707</v>
      </c>
    </row>
    <row r="18" ht="13.5" customHeight="1" spans="1:15" x14ac:dyDescent="0.25">
      <c r="A18" s="1">
        <v>18</v>
      </c>
      <c r="B18" s="1" t="s">
        <v>395</v>
      </c>
      <c r="C18" s="1" t="s">
        <v>668</v>
      </c>
      <c r="D18" s="1">
        <v>18</v>
      </c>
      <c r="E18" s="2">
        <v>46160</v>
      </c>
      <c r="F18" s="1" t="s">
        <v>713</v>
      </c>
      <c r="G18" s="1" t="s">
        <v>714</v>
      </c>
      <c r="H18" s="1" t="s">
        <v>630</v>
      </c>
      <c r="I18" s="2">
        <v>46171</v>
      </c>
      <c r="J18" s="94">
        <v>2.5</v>
      </c>
      <c r="K18" s="1" t="s">
        <v>671</v>
      </c>
      <c r="L18" s="2">
        <v>46174</v>
      </c>
      <c r="M18" s="95">
        <v>46175</v>
      </c>
      <c r="N18" s="1" t="s">
        <v>673</v>
      </c>
      <c r="O18" s="1" t="s">
        <v>673</v>
      </c>
    </row>
    <row r="19" ht="13.5" customHeight="1" spans="1:15" x14ac:dyDescent="0.25">
      <c r="A19" s="1">
        <v>19</v>
      </c>
      <c r="B19" s="1" t="s">
        <v>84</v>
      </c>
      <c r="C19" s="1" t="s">
        <v>668</v>
      </c>
      <c r="D19" s="1">
        <v>19</v>
      </c>
      <c r="E19" s="2">
        <v>46132</v>
      </c>
      <c r="F19" s="1" t="s">
        <v>715</v>
      </c>
      <c r="G19" s="1" t="s">
        <v>711</v>
      </c>
      <c r="H19" s="1" t="s">
        <v>483</v>
      </c>
      <c r="I19" s="2">
        <v>46132</v>
      </c>
      <c r="J19" s="94">
        <v>4</v>
      </c>
      <c r="K19" s="1" t="s">
        <v>671</v>
      </c>
      <c r="L19" s="2">
        <v>46136</v>
      </c>
      <c r="M19" s="95">
        <v>46137</v>
      </c>
      <c r="N19" s="1" t="s">
        <v>673</v>
      </c>
      <c r="O19" s="1" t="s">
        <v>707</v>
      </c>
    </row>
    <row r="20" ht="13.5" customHeight="1" spans="1:15" s="52" customFormat="1" x14ac:dyDescent="0.25">
      <c r="A20" s="97">
        <v>21</v>
      </c>
      <c r="B20" s="97" t="s">
        <v>716</v>
      </c>
      <c r="C20" s="97" t="s">
        <v>668</v>
      </c>
      <c r="D20" s="97">
        <v>21</v>
      </c>
      <c r="E20" s="98">
        <v>46141</v>
      </c>
      <c r="F20" s="97" t="s">
        <v>717</v>
      </c>
      <c r="G20" s="97" t="s">
        <v>718</v>
      </c>
      <c r="H20" s="97" t="s">
        <v>553</v>
      </c>
      <c r="I20" s="98">
        <v>46135</v>
      </c>
      <c r="J20" s="99">
        <v>4</v>
      </c>
      <c r="K20" s="97" t="s">
        <v>676</v>
      </c>
      <c r="L20" s="98">
        <v>46139</v>
      </c>
      <c r="M20" s="100">
        <v>46140</v>
      </c>
      <c r="N20" s="97" t="s">
        <v>707</v>
      </c>
      <c r="O20" s="97" t="s">
        <v>677</v>
      </c>
    </row>
    <row r="21" ht="13.5" customHeight="1" spans="1:15" x14ac:dyDescent="0.25">
      <c r="A21" s="1">
        <v>22</v>
      </c>
      <c r="B21" s="1" t="s">
        <v>389</v>
      </c>
      <c r="C21" s="1" t="s">
        <v>668</v>
      </c>
      <c r="D21" s="1">
        <v>22</v>
      </c>
      <c r="E21" s="2">
        <v>46130</v>
      </c>
      <c r="F21" s="1" t="s">
        <v>719</v>
      </c>
      <c r="G21" s="1" t="s">
        <v>720</v>
      </c>
      <c r="H21" s="1" t="s">
        <v>673</v>
      </c>
      <c r="I21" s="2">
        <v>46130</v>
      </c>
      <c r="J21" s="94">
        <v>2</v>
      </c>
      <c r="K21" s="1" t="s">
        <v>676</v>
      </c>
      <c r="L21" s="2">
        <v>46131</v>
      </c>
      <c r="M21" s="95">
        <v>46132</v>
      </c>
      <c r="N21" s="1" t="s">
        <v>673</v>
      </c>
      <c r="O21" s="1" t="s">
        <v>673</v>
      </c>
    </row>
    <row r="22" ht="13.5" customHeight="1" spans="1:15" x14ac:dyDescent="0.25">
      <c r="A22" s="1">
        <v>23</v>
      </c>
      <c r="B22" s="1"/>
      <c r="C22" s="1" t="s">
        <v>668</v>
      </c>
      <c r="D22" s="1">
        <v>23</v>
      </c>
      <c r="E22" s="2">
        <v>46134</v>
      </c>
      <c r="F22" s="89" t="s">
        <v>721</v>
      </c>
      <c r="G22" s="1" t="s">
        <v>722</v>
      </c>
      <c r="H22" s="1" t="s">
        <v>723</v>
      </c>
      <c r="I22" s="2">
        <v>46163</v>
      </c>
      <c r="J22" s="94">
        <v>14</v>
      </c>
      <c r="K22" s="1" t="s">
        <v>671</v>
      </c>
      <c r="L22" s="2">
        <v>46176</v>
      </c>
      <c r="M22" s="95">
        <v>46177</v>
      </c>
      <c r="N22" s="1" t="s">
        <v>673</v>
      </c>
      <c r="O22" s="1" t="s">
        <v>673</v>
      </c>
    </row>
    <row r="23" ht="13.5" customHeight="1" spans="1:15" s="52" customFormat="1" x14ac:dyDescent="0.25">
      <c r="A23" s="97">
        <v>24</v>
      </c>
      <c r="B23" s="97" t="s">
        <v>716</v>
      </c>
      <c r="C23" s="97" t="s">
        <v>668</v>
      </c>
      <c r="D23" s="97">
        <v>24</v>
      </c>
      <c r="E23" s="98">
        <v>46135</v>
      </c>
      <c r="F23" s="97" t="s">
        <v>717</v>
      </c>
      <c r="G23" s="97" t="s">
        <v>718</v>
      </c>
      <c r="H23" s="97" t="s">
        <v>553</v>
      </c>
      <c r="I23" s="98">
        <v>46135</v>
      </c>
      <c r="J23" s="99">
        <v>1</v>
      </c>
      <c r="K23" s="97" t="s">
        <v>676</v>
      </c>
      <c r="L23" s="98">
        <v>46136</v>
      </c>
      <c r="M23" s="100">
        <v>46136</v>
      </c>
      <c r="N23" s="97" t="s">
        <v>673</v>
      </c>
      <c r="O23" s="97" t="s">
        <v>673</v>
      </c>
    </row>
    <row r="24" ht="13.5" customHeight="1" spans="1:15" x14ac:dyDescent="0.25">
      <c r="A24" s="1">
        <v>25</v>
      </c>
      <c r="B24" s="1" t="s">
        <v>475</v>
      </c>
      <c r="C24" s="1" t="s">
        <v>668</v>
      </c>
      <c r="D24" s="1">
        <v>25</v>
      </c>
      <c r="E24" s="2">
        <v>46139</v>
      </c>
      <c r="F24" s="1" t="s">
        <v>579</v>
      </c>
      <c r="G24" s="1" t="s">
        <v>711</v>
      </c>
      <c r="H24" s="1" t="s">
        <v>724</v>
      </c>
      <c r="I24" s="2">
        <v>46141</v>
      </c>
      <c r="J24" s="94">
        <v>2</v>
      </c>
      <c r="K24" s="1" t="s">
        <v>725</v>
      </c>
      <c r="L24" s="2">
        <v>46148</v>
      </c>
      <c r="M24" s="95">
        <v>46272</v>
      </c>
      <c r="N24" s="1" t="s">
        <v>726</v>
      </c>
      <c r="O24" s="1" t="s">
        <v>673</v>
      </c>
    </row>
    <row r="25" ht="13.5" customHeight="1" spans="1:15" s="52" customFormat="1" x14ac:dyDescent="0.25">
      <c r="A25" s="97">
        <v>26</v>
      </c>
      <c r="B25" s="97" t="s">
        <v>716</v>
      </c>
      <c r="C25" s="97" t="s">
        <v>668</v>
      </c>
      <c r="D25" s="97">
        <v>26</v>
      </c>
      <c r="E25" s="98">
        <v>46146</v>
      </c>
      <c r="F25" s="97" t="s">
        <v>717</v>
      </c>
      <c r="G25" s="97" t="s">
        <v>718</v>
      </c>
      <c r="H25" s="97" t="s">
        <v>553</v>
      </c>
      <c r="I25" s="98">
        <v>46147</v>
      </c>
      <c r="J25" s="99">
        <v>11</v>
      </c>
      <c r="K25" s="97" t="s">
        <v>676</v>
      </c>
      <c r="L25" s="98">
        <v>46158</v>
      </c>
      <c r="M25" s="100">
        <v>46158</v>
      </c>
      <c r="N25" s="97" t="s">
        <v>707</v>
      </c>
      <c r="O25" s="97" t="s">
        <v>673</v>
      </c>
    </row>
    <row r="26" ht="13.5" customHeight="1" spans="1:15" x14ac:dyDescent="0.25">
      <c r="A26" s="1">
        <v>27</v>
      </c>
      <c r="B26" s="1" t="s">
        <v>135</v>
      </c>
      <c r="C26" s="1" t="s">
        <v>668</v>
      </c>
      <c r="D26" s="1">
        <v>27</v>
      </c>
      <c r="E26" s="2">
        <v>46146</v>
      </c>
      <c r="F26" s="1" t="s">
        <v>727</v>
      </c>
      <c r="G26" s="1" t="s">
        <v>728</v>
      </c>
      <c r="H26" s="1" t="s">
        <v>502</v>
      </c>
      <c r="I26" s="2">
        <v>46146</v>
      </c>
      <c r="J26" s="94">
        <v>2</v>
      </c>
      <c r="K26" s="1" t="s">
        <v>676</v>
      </c>
      <c r="L26" s="2">
        <v>46148</v>
      </c>
      <c r="M26" s="95">
        <v>46148</v>
      </c>
      <c r="N26" s="1" t="s">
        <v>673</v>
      </c>
      <c r="O26" s="1" t="s">
        <v>673</v>
      </c>
    </row>
    <row r="27" ht="13.5" customHeight="1" spans="1:15" x14ac:dyDescent="0.25">
      <c r="A27" s="1">
        <v>31</v>
      </c>
      <c r="B27" s="1" t="s">
        <v>729</v>
      </c>
      <c r="C27" s="1" t="s">
        <v>668</v>
      </c>
      <c r="D27" s="1">
        <v>31</v>
      </c>
      <c r="E27" s="2">
        <v>46157</v>
      </c>
      <c r="F27" s="1" t="s">
        <v>730</v>
      </c>
      <c r="G27" s="1" t="s">
        <v>731</v>
      </c>
      <c r="H27" s="1" t="s">
        <v>502</v>
      </c>
      <c r="I27" s="2">
        <v>46162</v>
      </c>
      <c r="J27" s="94">
        <v>2</v>
      </c>
      <c r="K27" s="1" t="s">
        <v>671</v>
      </c>
      <c r="L27" s="2">
        <v>46163</v>
      </c>
      <c r="M27" s="95">
        <v>46164</v>
      </c>
      <c r="N27" s="1" t="s">
        <v>673</v>
      </c>
      <c r="O27" s="1" t="s">
        <v>673</v>
      </c>
    </row>
    <row r="28" ht="13.5" customHeight="1" spans="1:15" x14ac:dyDescent="0.25">
      <c r="A28" s="1">
        <v>32</v>
      </c>
      <c r="B28" s="1" t="s">
        <v>330</v>
      </c>
      <c r="C28" s="1" t="s">
        <v>668</v>
      </c>
      <c r="D28" s="1">
        <v>32</v>
      </c>
      <c r="E28" s="2">
        <v>46157</v>
      </c>
      <c r="F28" s="1" t="s">
        <v>332</v>
      </c>
      <c r="G28" s="1" t="s">
        <v>732</v>
      </c>
      <c r="H28" s="1" t="s">
        <v>683</v>
      </c>
      <c r="I28" s="2">
        <v>46160</v>
      </c>
      <c r="J28" s="94">
        <v>5</v>
      </c>
      <c r="K28" s="1" t="s">
        <v>671</v>
      </c>
      <c r="L28" s="2">
        <v>46164</v>
      </c>
      <c r="M28" s="95">
        <v>46165</v>
      </c>
      <c r="N28" s="1" t="s">
        <v>733</v>
      </c>
      <c r="O28" s="1" t="s">
        <v>734</v>
      </c>
    </row>
    <row r="29" ht="13.5" customHeight="1" spans="1:15" x14ac:dyDescent="0.25">
      <c r="A29" s="1">
        <v>33</v>
      </c>
      <c r="B29" s="1" t="s">
        <v>63</v>
      </c>
      <c r="C29" s="1" t="s">
        <v>668</v>
      </c>
      <c r="D29" s="1">
        <v>33</v>
      </c>
      <c r="E29" s="2">
        <v>46157</v>
      </c>
      <c r="F29" s="1" t="s">
        <v>65</v>
      </c>
      <c r="G29" s="1" t="s">
        <v>711</v>
      </c>
      <c r="H29" s="1" t="s">
        <v>735</v>
      </c>
      <c r="I29" s="2">
        <v>46158</v>
      </c>
      <c r="J29" s="94">
        <v>2</v>
      </c>
      <c r="K29" s="1" t="s">
        <v>671</v>
      </c>
      <c r="L29" s="2">
        <v>46159</v>
      </c>
      <c r="M29" s="95">
        <v>46160</v>
      </c>
      <c r="N29" s="1" t="s">
        <v>707</v>
      </c>
      <c r="O29" s="1" t="s">
        <v>673</v>
      </c>
    </row>
    <row r="30" ht="13.5" customHeight="1" spans="1:15" x14ac:dyDescent="0.25">
      <c r="A30" s="1">
        <v>35</v>
      </c>
      <c r="B30" s="1" t="s">
        <v>74</v>
      </c>
      <c r="C30" s="1" t="s">
        <v>736</v>
      </c>
      <c r="D30" s="1">
        <v>1</v>
      </c>
      <c r="E30" s="2">
        <v>46146</v>
      </c>
      <c r="F30" s="1" t="s">
        <v>76</v>
      </c>
      <c r="G30" s="1" t="s">
        <v>679</v>
      </c>
      <c r="H30" s="1" t="s">
        <v>673</v>
      </c>
      <c r="I30" s="2">
        <v>46146</v>
      </c>
      <c r="J30" s="94">
        <v>2</v>
      </c>
      <c r="K30" s="1" t="s">
        <v>671</v>
      </c>
      <c r="L30" s="2">
        <v>46147</v>
      </c>
      <c r="M30" s="95">
        <v>46148</v>
      </c>
      <c r="N30" s="1" t="s">
        <v>673</v>
      </c>
      <c r="O30" s="1" t="s">
        <v>673</v>
      </c>
    </row>
    <row r="31" ht="13.5" customHeight="1" spans="1:15" x14ac:dyDescent="0.25">
      <c r="A31" s="1">
        <v>36</v>
      </c>
      <c r="B31" s="1" t="s">
        <v>737</v>
      </c>
      <c r="C31" s="1" t="s">
        <v>736</v>
      </c>
      <c r="D31" s="1">
        <v>2</v>
      </c>
      <c r="E31" s="2">
        <v>46176</v>
      </c>
      <c r="F31" s="89" t="s">
        <v>738</v>
      </c>
      <c r="G31" s="1" t="s">
        <v>739</v>
      </c>
      <c r="H31" s="1" t="s">
        <v>462</v>
      </c>
      <c r="I31" s="2">
        <v>46181</v>
      </c>
      <c r="J31" s="94">
        <v>2</v>
      </c>
      <c r="K31" s="1" t="s">
        <v>676</v>
      </c>
      <c r="L31" s="2">
        <v>46182</v>
      </c>
      <c r="M31" s="95">
        <v>46183</v>
      </c>
      <c r="N31" s="1" t="s">
        <v>726</v>
      </c>
      <c r="O31" s="1" t="s">
        <v>673</v>
      </c>
    </row>
    <row r="32" ht="13.5" customHeight="1" spans="1:15" x14ac:dyDescent="0.25">
      <c r="A32" s="1">
        <v>37</v>
      </c>
      <c r="B32" s="1" t="s">
        <v>413</v>
      </c>
      <c r="C32" s="1" t="s">
        <v>736</v>
      </c>
      <c r="D32" s="1">
        <v>3</v>
      </c>
      <c r="E32" s="2">
        <v>46177</v>
      </c>
      <c r="F32" s="1" t="s">
        <v>415</v>
      </c>
      <c r="G32" s="1" t="s">
        <v>740</v>
      </c>
      <c r="H32" s="1" t="s">
        <v>619</v>
      </c>
      <c r="I32" s="2">
        <v>46177</v>
      </c>
      <c r="J32" s="94">
        <v>4</v>
      </c>
      <c r="K32" s="1" t="s">
        <v>676</v>
      </c>
      <c r="L32" s="2">
        <v>46180</v>
      </c>
      <c r="M32" s="95">
        <v>46181</v>
      </c>
      <c r="N32" s="1" t="s">
        <v>702</v>
      </c>
      <c r="O32" s="1" t="s">
        <v>673</v>
      </c>
    </row>
    <row r="33" ht="13.5" customHeight="1" spans="1:15" x14ac:dyDescent="0.25">
      <c r="A33" s="1">
        <v>38</v>
      </c>
      <c r="B33" s="1" t="s">
        <v>741</v>
      </c>
      <c r="C33" s="1" t="s">
        <v>736</v>
      </c>
      <c r="D33" s="1">
        <v>4</v>
      </c>
      <c r="E33" s="2">
        <v>46188</v>
      </c>
      <c r="F33" s="1" t="s">
        <v>742</v>
      </c>
      <c r="G33" s="1" t="s">
        <v>743</v>
      </c>
      <c r="H33" s="1" t="s">
        <v>744</v>
      </c>
      <c r="I33" s="2">
        <v>46188</v>
      </c>
      <c r="J33" s="94">
        <v>2</v>
      </c>
      <c r="K33" s="1" t="s">
        <v>671</v>
      </c>
      <c r="L33" s="2">
        <v>46189</v>
      </c>
      <c r="M33" s="95">
        <v>46251</v>
      </c>
      <c r="N33" s="1" t="s">
        <v>726</v>
      </c>
      <c r="O33" s="1" t="s">
        <v>673</v>
      </c>
    </row>
    <row r="34" ht="13.5" customHeight="1" spans="1:15" x14ac:dyDescent="0.25">
      <c r="A34" s="1">
        <v>39</v>
      </c>
      <c r="B34" s="1" t="s">
        <v>195</v>
      </c>
      <c r="C34" s="1" t="s">
        <v>736</v>
      </c>
      <c r="D34" s="1">
        <v>5</v>
      </c>
      <c r="E34" s="2">
        <v>46192</v>
      </c>
      <c r="F34" s="1" t="s">
        <v>745</v>
      </c>
      <c r="G34" s="1" t="s">
        <v>711</v>
      </c>
      <c r="H34" s="1" t="s">
        <v>526</v>
      </c>
      <c r="I34" s="2">
        <v>46204</v>
      </c>
      <c r="J34" s="94">
        <v>3</v>
      </c>
      <c r="K34" s="1" t="s">
        <v>671</v>
      </c>
      <c r="L34" s="2">
        <v>46206</v>
      </c>
      <c r="M34" s="95">
        <v>46207</v>
      </c>
      <c r="N34" s="1" t="s">
        <v>746</v>
      </c>
      <c r="O34" s="1" t="s">
        <v>673</v>
      </c>
    </row>
    <row r="35" ht="13.5" customHeight="1" spans="1:15" x14ac:dyDescent="0.25">
      <c r="A35" s="1">
        <v>40</v>
      </c>
      <c r="B35" s="1" t="s">
        <v>747</v>
      </c>
      <c r="C35" s="1" t="s">
        <v>736</v>
      </c>
      <c r="D35" s="1">
        <v>6</v>
      </c>
      <c r="E35" s="2">
        <v>46202</v>
      </c>
      <c r="F35" s="1" t="s">
        <v>748</v>
      </c>
      <c r="G35" s="1" t="s">
        <v>749</v>
      </c>
      <c r="H35" s="1" t="s">
        <v>750</v>
      </c>
      <c r="I35" s="2">
        <v>46202</v>
      </c>
      <c r="J35" s="94">
        <v>5</v>
      </c>
      <c r="K35" s="1" t="s">
        <v>671</v>
      </c>
      <c r="L35" s="2">
        <v>46208</v>
      </c>
      <c r="M35" s="95">
        <v>46209</v>
      </c>
      <c r="N35" s="1" t="s">
        <v>751</v>
      </c>
      <c r="O35" s="1" t="s">
        <v>673</v>
      </c>
    </row>
    <row r="36" ht="13.5" customHeight="1" spans="1:15" x14ac:dyDescent="0.25">
      <c r="A36" s="1">
        <v>41</v>
      </c>
      <c r="B36" s="1" t="s">
        <v>752</v>
      </c>
      <c r="C36" s="1" t="s">
        <v>736</v>
      </c>
      <c r="D36" s="1">
        <v>7</v>
      </c>
      <c r="E36" s="2">
        <v>46192</v>
      </c>
      <c r="F36" s="1" t="s">
        <v>753</v>
      </c>
      <c r="G36" s="1" t="s">
        <v>754</v>
      </c>
      <c r="H36" s="1" t="s">
        <v>526</v>
      </c>
      <c r="I36" s="2">
        <v>46195</v>
      </c>
      <c r="J36" s="94">
        <v>4</v>
      </c>
      <c r="K36" s="1" t="s">
        <v>671</v>
      </c>
      <c r="L36" s="2">
        <v>46198</v>
      </c>
      <c r="M36" s="95">
        <v>46199</v>
      </c>
      <c r="N36" s="1" t="s">
        <v>755</v>
      </c>
      <c r="O36" s="1" t="s">
        <v>673</v>
      </c>
    </row>
    <row r="37" ht="13.5" customHeight="1" spans="1:15" x14ac:dyDescent="0.25">
      <c r="A37" s="1">
        <v>42</v>
      </c>
      <c r="B37" s="1" t="s">
        <v>189</v>
      </c>
      <c r="C37" s="1" t="s">
        <v>736</v>
      </c>
      <c r="D37" s="1">
        <v>8</v>
      </c>
      <c r="E37" s="2">
        <v>46193</v>
      </c>
      <c r="F37" s="1" t="s">
        <v>756</v>
      </c>
      <c r="G37" s="1" t="s">
        <v>757</v>
      </c>
      <c r="H37" s="1" t="s">
        <v>526</v>
      </c>
      <c r="I37" s="2">
        <v>46196</v>
      </c>
      <c r="J37" s="94">
        <v>5</v>
      </c>
      <c r="K37" s="1" t="s">
        <v>758</v>
      </c>
      <c r="L37" s="2">
        <v>46201</v>
      </c>
      <c r="M37" s="95">
        <v>46202</v>
      </c>
      <c r="N37" s="1" t="s">
        <v>707</v>
      </c>
      <c r="O37" s="1" t="s">
        <v>673</v>
      </c>
    </row>
    <row r="38" ht="13.5" customHeight="1" spans="1:15" x14ac:dyDescent="0.25">
      <c r="A38" s="1">
        <v>43</v>
      </c>
      <c r="B38" s="1" t="s">
        <v>157</v>
      </c>
      <c r="C38" s="1" t="s">
        <v>736</v>
      </c>
      <c r="D38" s="1">
        <v>9</v>
      </c>
      <c r="E38" s="2">
        <v>46195</v>
      </c>
      <c r="F38" s="1" t="s">
        <v>159</v>
      </c>
      <c r="G38" s="1" t="s">
        <v>711</v>
      </c>
      <c r="H38" s="1" t="s">
        <v>526</v>
      </c>
      <c r="I38" s="2">
        <v>46197</v>
      </c>
      <c r="J38" s="94">
        <v>5</v>
      </c>
      <c r="K38" s="1" t="s">
        <v>671</v>
      </c>
      <c r="L38" s="2">
        <v>46205</v>
      </c>
      <c r="M38" s="95">
        <v>46207</v>
      </c>
      <c r="N38" s="1" t="s">
        <v>707</v>
      </c>
      <c r="O38" s="1" t="s">
        <v>673</v>
      </c>
    </row>
    <row r="39" ht="13.5" customHeight="1" spans="1:15" s="52" customFormat="1" x14ac:dyDescent="0.25">
      <c r="A39" s="97">
        <v>44</v>
      </c>
      <c r="B39" s="97" t="s">
        <v>759</v>
      </c>
      <c r="C39" s="97" t="s">
        <v>736</v>
      </c>
      <c r="D39" s="97">
        <v>10</v>
      </c>
      <c r="E39" s="98">
        <v>46195</v>
      </c>
      <c r="F39" s="97" t="s">
        <v>760</v>
      </c>
      <c r="G39" s="97" t="s">
        <v>761</v>
      </c>
      <c r="H39" s="97" t="s">
        <v>762</v>
      </c>
      <c r="I39" s="98">
        <v>46193</v>
      </c>
      <c r="J39" s="99">
        <v>20</v>
      </c>
      <c r="K39" s="97" t="s">
        <v>671</v>
      </c>
      <c r="L39" s="98">
        <v>46213</v>
      </c>
      <c r="M39" s="100">
        <v>46214</v>
      </c>
      <c r="N39" s="97" t="s">
        <v>763</v>
      </c>
      <c r="O39" s="97" t="s">
        <v>673</v>
      </c>
    </row>
    <row r="40" ht="13.5" customHeight="1" spans="1:15" x14ac:dyDescent="0.25">
      <c r="A40" s="1">
        <v>45</v>
      </c>
      <c r="B40" s="1" t="s">
        <v>175</v>
      </c>
      <c r="C40" s="1" t="s">
        <v>764</v>
      </c>
      <c r="D40" s="1">
        <v>1</v>
      </c>
      <c r="E40" s="101">
        <v>46196</v>
      </c>
      <c r="F40" s="1" t="s">
        <v>765</v>
      </c>
      <c r="G40" s="1" t="s">
        <v>711</v>
      </c>
      <c r="H40" s="1" t="s">
        <v>526</v>
      </c>
      <c r="I40" s="101">
        <v>46197</v>
      </c>
      <c r="J40" s="94">
        <v>5</v>
      </c>
      <c r="K40" s="1" t="s">
        <v>671</v>
      </c>
      <c r="L40" s="101">
        <v>46202</v>
      </c>
      <c r="M40" s="95">
        <v>46202</v>
      </c>
      <c r="N40" s="1" t="s">
        <v>766</v>
      </c>
      <c r="O40" s="1" t="s">
        <v>767</v>
      </c>
    </row>
    <row r="41" ht="13.5" customHeight="1" spans="1:15" x14ac:dyDescent="0.25">
      <c r="A41" s="1">
        <v>46</v>
      </c>
      <c r="B41" s="1" t="s">
        <v>478</v>
      </c>
      <c r="C41" s="1" t="s">
        <v>764</v>
      </c>
      <c r="D41" s="1">
        <v>2</v>
      </c>
      <c r="E41" s="101">
        <v>46190</v>
      </c>
      <c r="F41" s="1" t="s">
        <v>768</v>
      </c>
      <c r="G41" s="1" t="s">
        <v>769</v>
      </c>
      <c r="H41" s="1" t="s">
        <v>502</v>
      </c>
      <c r="I41" s="101">
        <v>46204</v>
      </c>
      <c r="J41" s="94">
        <v>10</v>
      </c>
      <c r="K41" s="1" t="s">
        <v>770</v>
      </c>
      <c r="L41" s="101">
        <v>46213</v>
      </c>
      <c r="M41" s="95">
        <v>46214</v>
      </c>
      <c r="N41" s="1" t="s">
        <v>771</v>
      </c>
      <c r="O41" s="1" t="s">
        <v>772</v>
      </c>
    </row>
    <row r="42" ht="13.5" customHeight="1" spans="1:15" x14ac:dyDescent="0.25">
      <c r="A42" s="1">
        <v>47</v>
      </c>
      <c r="B42" s="1" t="s">
        <v>89</v>
      </c>
      <c r="C42" s="1" t="s">
        <v>773</v>
      </c>
      <c r="D42" s="1">
        <v>1</v>
      </c>
      <c r="E42" s="2">
        <v>46202</v>
      </c>
      <c r="F42" s="1" t="s">
        <v>774</v>
      </c>
      <c r="G42" s="1" t="s">
        <v>775</v>
      </c>
      <c r="H42" s="1" t="s">
        <v>66</v>
      </c>
      <c r="I42" s="2">
        <v>46202</v>
      </c>
      <c r="J42" s="94">
        <v>7</v>
      </c>
      <c r="K42" s="1" t="s">
        <v>671</v>
      </c>
      <c r="L42" s="2">
        <v>46208</v>
      </c>
      <c r="M42" s="95">
        <v>46209</v>
      </c>
      <c r="N42" s="1" t="s">
        <v>776</v>
      </c>
      <c r="O42" s="1" t="s">
        <v>776</v>
      </c>
    </row>
    <row r="43" ht="13.5" customHeight="1" spans="1:15" x14ac:dyDescent="0.25">
      <c r="A43" s="1">
        <v>48</v>
      </c>
      <c r="B43" s="1" t="s">
        <v>478</v>
      </c>
      <c r="C43" s="1" t="s">
        <v>773</v>
      </c>
      <c r="D43" s="1">
        <v>2</v>
      </c>
      <c r="E43" s="2">
        <v>46190</v>
      </c>
      <c r="F43" s="1" t="s">
        <v>777</v>
      </c>
      <c r="G43" s="1" t="s">
        <v>769</v>
      </c>
      <c r="H43" s="1" t="s">
        <v>502</v>
      </c>
      <c r="I43" s="2">
        <v>46204</v>
      </c>
      <c r="J43" s="94">
        <v>10</v>
      </c>
      <c r="K43" s="1" t="s">
        <v>778</v>
      </c>
      <c r="L43" s="2">
        <v>46213</v>
      </c>
      <c r="M43" s="95">
        <v>46214</v>
      </c>
      <c r="N43" s="1" t="s">
        <v>779</v>
      </c>
      <c r="O43" s="1" t="s">
        <v>780</v>
      </c>
    </row>
    <row r="44" ht="13.5" customHeight="1" spans="1:15" x14ac:dyDescent="0.25">
      <c r="A44" s="1">
        <v>49</v>
      </c>
      <c r="B44" s="1" t="s">
        <v>175</v>
      </c>
      <c r="C44" s="1" t="s">
        <v>773</v>
      </c>
      <c r="D44" s="1">
        <v>3</v>
      </c>
      <c r="E44" s="2">
        <v>46196</v>
      </c>
      <c r="F44" s="1" t="s">
        <v>624</v>
      </c>
      <c r="G44" s="1" t="s">
        <v>711</v>
      </c>
      <c r="H44" s="1" t="s">
        <v>526</v>
      </c>
      <c r="I44" s="2">
        <v>46197</v>
      </c>
      <c r="J44" s="94">
        <v>5</v>
      </c>
      <c r="K44" s="1" t="s">
        <v>671</v>
      </c>
      <c r="L44" s="2">
        <v>46201</v>
      </c>
      <c r="M44" s="95">
        <v>46202</v>
      </c>
      <c r="N44" s="1" t="s">
        <v>781</v>
      </c>
      <c r="O44" s="1" t="s">
        <v>776</v>
      </c>
    </row>
    <row r="45" ht="13.5" customHeight="1" spans="1:15" x14ac:dyDescent="0.25">
      <c r="A45" s="1">
        <v>50</v>
      </c>
      <c r="B45" s="1" t="s">
        <v>186</v>
      </c>
      <c r="C45" s="1" t="s">
        <v>773</v>
      </c>
      <c r="D45" s="1">
        <v>4</v>
      </c>
      <c r="E45" s="2">
        <v>46196</v>
      </c>
      <c r="F45" s="1" t="s">
        <v>782</v>
      </c>
      <c r="G45" s="1" t="s">
        <v>783</v>
      </c>
      <c r="H45" s="1" t="s">
        <v>526</v>
      </c>
      <c r="I45" s="2">
        <v>46202</v>
      </c>
      <c r="J45" s="94">
        <v>4</v>
      </c>
      <c r="K45" s="1" t="s">
        <v>784</v>
      </c>
      <c r="L45" s="2">
        <v>46205</v>
      </c>
      <c r="M45" s="95">
        <v>46206</v>
      </c>
      <c r="N45" s="1" t="s">
        <v>785</v>
      </c>
      <c r="O45" s="1" t="s">
        <v>776</v>
      </c>
    </row>
    <row r="46" ht="13.5" customHeight="1" spans="1:15" x14ac:dyDescent="0.25">
      <c r="A46" s="1">
        <v>51</v>
      </c>
      <c r="B46" s="1" t="s">
        <v>237</v>
      </c>
      <c r="C46" s="1" t="s">
        <v>773</v>
      </c>
      <c r="D46" s="1">
        <v>5</v>
      </c>
      <c r="E46" s="2">
        <v>46197</v>
      </c>
      <c r="F46" s="1" t="s">
        <v>786</v>
      </c>
      <c r="G46" s="1" t="s">
        <v>787</v>
      </c>
      <c r="H46" s="1" t="s">
        <v>520</v>
      </c>
      <c r="I46" s="2">
        <v>46197</v>
      </c>
      <c r="J46" s="94">
        <v>6</v>
      </c>
      <c r="K46" s="1" t="s">
        <v>671</v>
      </c>
      <c r="L46" s="2">
        <v>44011</v>
      </c>
      <c r="M46" s="95">
        <v>44012</v>
      </c>
      <c r="N46" s="1" t="s">
        <v>785</v>
      </c>
      <c r="O46" s="1" t="s">
        <v>776</v>
      </c>
    </row>
    <row r="47" ht="15.75" customHeight="1" spans="1:12" x14ac:dyDescent="0.25">
      <c r="A47" s="1">
        <v>52</v>
      </c>
      <c r="B47" t="s">
        <v>667</v>
      </c>
      <c r="F47" s="1" t="s">
        <v>788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789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790</v>
      </c>
      <c r="F49" s="1" t="s">
        <v>791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237</v>
      </c>
      <c r="F50" s="1" t="s">
        <v>786</v>
      </c>
      <c r="H50" t="s">
        <v>792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793</v>
      </c>
      <c r="G51" s="52" t="s">
        <v>775</v>
      </c>
      <c r="H51" s="52" t="s">
        <v>594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794</v>
      </c>
      <c r="O51" s="52" t="s">
        <v>794</v>
      </c>
    </row>
    <row r="52" spans="1:15" s="52" customFormat="1" x14ac:dyDescent="0.25">
      <c r="A52" s="52">
        <v>2</v>
      </c>
      <c r="E52" s="102">
        <v>46211</v>
      </c>
      <c r="F52" s="52" t="s">
        <v>795</v>
      </c>
      <c r="G52" s="52" t="s">
        <v>711</v>
      </c>
      <c r="H52" s="52" t="s">
        <v>502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794</v>
      </c>
    </row>
    <row r="53" spans="1:15" x14ac:dyDescent="0.25">
      <c r="A53">
        <v>3</v>
      </c>
      <c r="E53" s="93">
        <v>46190</v>
      </c>
      <c r="F53" t="s">
        <v>768</v>
      </c>
      <c r="G53" t="s">
        <v>769</v>
      </c>
      <c r="H53" t="s">
        <v>502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539</v>
      </c>
      <c r="G54" t="s">
        <v>700</v>
      </c>
      <c r="H54" t="s">
        <v>541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794</v>
      </c>
    </row>
    <row r="55" spans="1:15" x14ac:dyDescent="0.25">
      <c r="A55">
        <v>5</v>
      </c>
      <c r="E55" s="93">
        <v>46175</v>
      </c>
      <c r="F55" t="s">
        <v>796</v>
      </c>
      <c r="G55" t="s">
        <v>700</v>
      </c>
      <c r="H55" t="s">
        <v>704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794</v>
      </c>
    </row>
    <row r="56" spans="1:15" s="52" customFormat="1" x14ac:dyDescent="0.25">
      <c r="A56" s="52">
        <v>6</v>
      </c>
      <c r="E56" s="102">
        <v>46206</v>
      </c>
      <c r="F56" s="52" t="s">
        <v>797</v>
      </c>
      <c r="G56" s="52" t="s">
        <v>711</v>
      </c>
      <c r="H56" s="52" t="s">
        <v>483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794</v>
      </c>
    </row>
    <row r="57" spans="1:15" x14ac:dyDescent="0.25">
      <c r="A57">
        <v>7</v>
      </c>
      <c r="E57" s="93">
        <v>46219</v>
      </c>
      <c r="F57" t="s">
        <v>717</v>
      </c>
      <c r="G57" t="s">
        <v>798</v>
      </c>
      <c r="H57" t="s">
        <v>553</v>
      </c>
      <c r="I57" s="93">
        <v>46219</v>
      </c>
      <c r="J57" t="s">
        <v>799</v>
      </c>
      <c r="K57" t="s">
        <v>800</v>
      </c>
      <c r="L57" t="s">
        <v>801</v>
      </c>
      <c r="M57" s="104"/>
      <c r="N57" t="s">
        <v>794</v>
      </c>
      <c r="O57" t="s">
        <v>794</v>
      </c>
    </row>
    <row r="58" spans="1:15" s="105" customFormat="1" x14ac:dyDescent="0.25">
      <c r="A58" s="105">
        <v>8</v>
      </c>
      <c r="E58" s="106">
        <v>46206</v>
      </c>
      <c r="F58" s="105" t="s">
        <v>802</v>
      </c>
      <c r="G58" s="105" t="s">
        <v>711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794</v>
      </c>
    </row>
    <row r="59" spans="1:15" s="52" customFormat="1" x14ac:dyDescent="0.25">
      <c r="A59" s="52">
        <v>9</v>
      </c>
      <c r="E59" s="102">
        <v>46216</v>
      </c>
      <c r="F59" s="52" t="s">
        <v>803</v>
      </c>
      <c r="G59" s="52" t="s">
        <v>711</v>
      </c>
      <c r="H59" s="52" t="s">
        <v>804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794</v>
      </c>
    </row>
    <row r="60" spans="1:15" s="105" customFormat="1" x14ac:dyDescent="0.25">
      <c r="A60" s="105">
        <v>10</v>
      </c>
      <c r="E60" s="106">
        <v>46214</v>
      </c>
      <c r="F60" s="105" t="s">
        <v>99</v>
      </c>
      <c r="G60" s="105" t="s">
        <v>805</v>
      </c>
      <c r="H60" s="105" t="s">
        <v>100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794</v>
      </c>
    </row>
    <row r="61" spans="1:15" x14ac:dyDescent="0.25">
      <c r="A61">
        <v>11</v>
      </c>
      <c r="E61" s="93">
        <v>46195</v>
      </c>
      <c r="F61" t="s">
        <v>806</v>
      </c>
      <c r="G61" t="s">
        <v>761</v>
      </c>
      <c r="H61" t="s">
        <v>762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794</v>
      </c>
    </row>
    <row r="62" spans="1:15" x14ac:dyDescent="0.25">
      <c r="A62">
        <v>12</v>
      </c>
      <c r="E62" s="93">
        <v>46202</v>
      </c>
      <c r="F62" t="s">
        <v>807</v>
      </c>
      <c r="G62" t="s">
        <v>700</v>
      </c>
      <c r="H62" t="s">
        <v>808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794</v>
      </c>
    </row>
    <row r="63" spans="1:15" x14ac:dyDescent="0.25">
      <c r="A63">
        <v>13</v>
      </c>
      <c r="E63" s="93">
        <v>46224</v>
      </c>
      <c r="F63" t="s">
        <v>809</v>
      </c>
      <c r="G63" t="s">
        <v>711</v>
      </c>
      <c r="H63" t="s">
        <v>483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794</v>
      </c>
      <c r="O63" t="s">
        <v>794</v>
      </c>
    </row>
    <row r="64" spans="1:15" s="52" customFormat="1" x14ac:dyDescent="0.25">
      <c r="A64" s="52">
        <v>14</v>
      </c>
      <c r="E64" s="102">
        <v>46218</v>
      </c>
      <c r="F64" s="52" t="s">
        <v>797</v>
      </c>
      <c r="G64" s="52" t="s">
        <v>711</v>
      </c>
      <c r="H64" s="52" t="s">
        <v>483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794</v>
      </c>
      <c r="O64" s="52" t="s">
        <v>794</v>
      </c>
    </row>
    <row r="65" spans="1:15" x14ac:dyDescent="0.25">
      <c r="A65">
        <v>15</v>
      </c>
      <c r="E65" s="93">
        <v>46212</v>
      </c>
      <c r="F65" t="s">
        <v>810</v>
      </c>
      <c r="G65" t="s">
        <v>711</v>
      </c>
      <c r="H65" t="s">
        <v>811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794</v>
      </c>
      <c r="O65" t="s">
        <v>794</v>
      </c>
    </row>
    <row r="66" spans="1:15" x14ac:dyDescent="0.25">
      <c r="A66">
        <v>16</v>
      </c>
      <c r="E66" s="93">
        <v>46224</v>
      </c>
      <c r="F66" t="s">
        <v>812</v>
      </c>
      <c r="G66" t="s">
        <v>700</v>
      </c>
      <c r="H66" t="s">
        <v>813</v>
      </c>
      <c r="I66" s="93">
        <v>46194</v>
      </c>
      <c r="J66" t="s">
        <v>799</v>
      </c>
      <c r="K66" t="s">
        <v>814</v>
      </c>
      <c r="L66" t="s">
        <v>815</v>
      </c>
      <c r="M66" s="104">
        <v>46224</v>
      </c>
      <c r="N66" t="s">
        <v>794</v>
      </c>
      <c r="O66" t="s">
        <v>794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441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446</v>
      </c>
      <c r="H1" s="1" t="s">
        <v>661</v>
      </c>
      <c r="I1" s="1" t="s">
        <v>660</v>
      </c>
      <c r="J1" s="1" t="s">
        <v>659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</row>
    <row r="2" ht="14.25" customHeight="1" spans="1:14" x14ac:dyDescent="0.25">
      <c r="A2" s="1">
        <v>1</v>
      </c>
      <c r="B2" s="1" t="s">
        <v>668</v>
      </c>
      <c r="C2" s="1">
        <v>1</v>
      </c>
      <c r="D2" s="2">
        <v>46170</v>
      </c>
      <c r="E2" s="1" t="s">
        <v>669</v>
      </c>
      <c r="F2" s="1" t="s">
        <v>670</v>
      </c>
      <c r="G2" s="1" t="s">
        <v>462</v>
      </c>
      <c r="H2" s="1" t="s">
        <v>671</v>
      </c>
      <c r="I2" s="1">
        <v>2</v>
      </c>
      <c r="J2" s="2">
        <v>46174</v>
      </c>
      <c r="K2" s="2">
        <v>46175</v>
      </c>
      <c r="L2" s="2">
        <v>46176</v>
      </c>
      <c r="M2" s="1" t="s">
        <v>672</v>
      </c>
      <c r="N2" s="1" t="s">
        <v>673</v>
      </c>
    </row>
    <row r="3" ht="14.25" customHeight="1" spans="1:14" x14ac:dyDescent="0.25">
      <c r="A3" s="1">
        <v>2</v>
      </c>
      <c r="B3" s="1" t="s">
        <v>668</v>
      </c>
      <c r="C3" s="1">
        <v>2</v>
      </c>
      <c r="D3" s="2">
        <v>46184</v>
      </c>
      <c r="E3" s="1" t="s">
        <v>674</v>
      </c>
      <c r="F3" s="1" t="s">
        <v>675</v>
      </c>
      <c r="G3" s="1" t="s">
        <v>462</v>
      </c>
      <c r="H3" s="1" t="s">
        <v>676</v>
      </c>
      <c r="I3" s="1">
        <v>1</v>
      </c>
      <c r="J3" s="2">
        <v>46174</v>
      </c>
      <c r="K3" s="2">
        <v>46174</v>
      </c>
      <c r="L3" s="2">
        <v>46175</v>
      </c>
      <c r="M3" s="1" t="s">
        <v>673</v>
      </c>
      <c r="N3" s="1" t="s">
        <v>677</v>
      </c>
    </row>
    <row r="4" ht="14.25" customHeight="1" spans="1:14" x14ac:dyDescent="0.25">
      <c r="A4" s="1">
        <v>3</v>
      </c>
      <c r="B4" s="1" t="s">
        <v>668</v>
      </c>
      <c r="C4" s="1">
        <v>3</v>
      </c>
      <c r="D4" s="2">
        <v>46157</v>
      </c>
      <c r="E4" s="1" t="s">
        <v>678</v>
      </c>
      <c r="F4" s="1" t="s">
        <v>679</v>
      </c>
      <c r="G4" s="1" t="s">
        <v>680</v>
      </c>
      <c r="H4" s="1" t="s">
        <v>681</v>
      </c>
      <c r="I4" s="1">
        <v>5</v>
      </c>
      <c r="J4" s="2">
        <v>46160</v>
      </c>
      <c r="K4" s="2">
        <v>46164</v>
      </c>
      <c r="L4" s="2">
        <v>46165</v>
      </c>
      <c r="M4" s="1" t="s">
        <v>673</v>
      </c>
      <c r="N4" s="1" t="s">
        <v>673</v>
      </c>
    </row>
    <row r="5" ht="14.25" customHeight="1" spans="1:14" x14ac:dyDescent="0.25">
      <c r="A5" s="1">
        <v>4</v>
      </c>
      <c r="B5" s="1" t="s">
        <v>668</v>
      </c>
      <c r="C5" s="1">
        <v>4</v>
      </c>
      <c r="D5" s="2">
        <v>46168</v>
      </c>
      <c r="E5" s="1" t="s">
        <v>332</v>
      </c>
      <c r="F5" s="1" t="s">
        <v>682</v>
      </c>
      <c r="G5" s="1" t="s">
        <v>683</v>
      </c>
      <c r="H5" s="1" t="s">
        <v>671</v>
      </c>
      <c r="I5" s="1">
        <v>15</v>
      </c>
      <c r="J5" s="2">
        <v>46169</v>
      </c>
      <c r="K5" s="2">
        <v>46183</v>
      </c>
      <c r="L5" s="2">
        <v>46184</v>
      </c>
      <c r="M5" s="1" t="s">
        <v>673</v>
      </c>
      <c r="N5" s="1" t="s">
        <v>673</v>
      </c>
    </row>
    <row r="6" ht="14.25" customHeight="1" spans="1:14" x14ac:dyDescent="0.25">
      <c r="A6" s="1">
        <v>5</v>
      </c>
      <c r="B6" s="1" t="s">
        <v>668</v>
      </c>
      <c r="C6" s="1">
        <v>5</v>
      </c>
      <c r="D6" s="2">
        <v>46174</v>
      </c>
      <c r="E6" s="1" t="s">
        <v>152</v>
      </c>
      <c r="F6" s="1" t="s">
        <v>684</v>
      </c>
      <c r="G6" s="1" t="s">
        <v>685</v>
      </c>
      <c r="H6" s="1" t="s">
        <v>676</v>
      </c>
      <c r="I6" s="1">
        <v>15</v>
      </c>
      <c r="J6" s="2">
        <v>46174</v>
      </c>
      <c r="K6" s="2">
        <v>46188</v>
      </c>
      <c r="L6" s="2">
        <v>46038</v>
      </c>
      <c r="M6" s="1" t="s">
        <v>673</v>
      </c>
      <c r="N6" s="1" t="s">
        <v>677</v>
      </c>
    </row>
    <row r="7" ht="14.25" customHeight="1" spans="1:14" x14ac:dyDescent="0.25">
      <c r="A7" s="1">
        <v>6</v>
      </c>
      <c r="B7" s="1" t="s">
        <v>668</v>
      </c>
      <c r="C7" s="1">
        <v>6</v>
      </c>
      <c r="D7" s="2">
        <v>46174</v>
      </c>
      <c r="E7" s="1" t="s">
        <v>124</v>
      </c>
      <c r="F7" s="1" t="s">
        <v>686</v>
      </c>
      <c r="G7" s="1" t="s">
        <v>687</v>
      </c>
      <c r="H7" s="1" t="s">
        <v>676</v>
      </c>
      <c r="I7" s="1">
        <v>15</v>
      </c>
      <c r="J7" s="2">
        <v>46174</v>
      </c>
      <c r="K7" s="2">
        <v>46188</v>
      </c>
      <c r="L7" s="2">
        <v>46189</v>
      </c>
      <c r="M7" s="1" t="s">
        <v>673</v>
      </c>
      <c r="N7" s="1" t="s">
        <v>677</v>
      </c>
    </row>
    <row r="8" ht="14.25" customHeight="1" spans="1:14" x14ac:dyDescent="0.25">
      <c r="A8" s="1">
        <v>7</v>
      </c>
      <c r="B8" s="1" t="s">
        <v>668</v>
      </c>
      <c r="C8" s="1">
        <v>7</v>
      </c>
      <c r="D8" s="2">
        <v>46160</v>
      </c>
      <c r="E8" s="1" t="s">
        <v>689</v>
      </c>
      <c r="F8" s="1" t="s">
        <v>690</v>
      </c>
      <c r="G8" s="1" t="s">
        <v>502</v>
      </c>
      <c r="H8" s="1" t="s">
        <v>676</v>
      </c>
      <c r="I8" s="1">
        <v>1</v>
      </c>
      <c r="J8" s="2">
        <v>46174</v>
      </c>
      <c r="K8" s="1" t="s">
        <v>673</v>
      </c>
      <c r="L8" s="2">
        <v>46175</v>
      </c>
      <c r="M8" s="1" t="s">
        <v>691</v>
      </c>
      <c r="N8" s="1" t="s">
        <v>673</v>
      </c>
    </row>
    <row r="9" ht="14.25" customHeight="1" spans="1:14" x14ac:dyDescent="0.25">
      <c r="A9" s="1">
        <v>8</v>
      </c>
      <c r="B9" s="1" t="s">
        <v>668</v>
      </c>
      <c r="C9" s="1">
        <v>8</v>
      </c>
      <c r="D9" s="2">
        <v>46153</v>
      </c>
      <c r="E9" s="1" t="s">
        <v>365</v>
      </c>
      <c r="F9" s="1" t="s">
        <v>692</v>
      </c>
      <c r="G9" s="1" t="s">
        <v>693</v>
      </c>
      <c r="H9" s="1" t="s">
        <v>676</v>
      </c>
      <c r="I9" s="1">
        <v>15</v>
      </c>
      <c r="J9" s="2">
        <v>46153</v>
      </c>
      <c r="K9" s="2">
        <v>46167</v>
      </c>
      <c r="L9" s="2">
        <v>46168</v>
      </c>
      <c r="M9" s="1" t="s">
        <v>673</v>
      </c>
      <c r="N9" s="1" t="s">
        <v>673</v>
      </c>
    </row>
    <row r="10" ht="14.25" customHeight="1" spans="1:14" x14ac:dyDescent="0.25">
      <c r="A10" s="1">
        <v>9</v>
      </c>
      <c r="B10" s="1" t="s">
        <v>668</v>
      </c>
      <c r="C10" s="1">
        <v>9</v>
      </c>
      <c r="D10" s="2">
        <v>46153</v>
      </c>
      <c r="E10" s="1" t="s">
        <v>375</v>
      </c>
      <c r="F10" s="1" t="s">
        <v>692</v>
      </c>
      <c r="G10" s="1" t="s">
        <v>694</v>
      </c>
      <c r="H10" s="1" t="s">
        <v>676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673</v>
      </c>
      <c r="N10" s="1" t="s">
        <v>673</v>
      </c>
    </row>
    <row r="11" ht="14.25" customHeight="1" spans="1:14" x14ac:dyDescent="0.25">
      <c r="A11" s="1">
        <v>11</v>
      </c>
      <c r="B11" s="1" t="s">
        <v>668</v>
      </c>
      <c r="C11" s="1">
        <v>11</v>
      </c>
      <c r="D11" s="2">
        <v>46182</v>
      </c>
      <c r="E11" s="1" t="s">
        <v>816</v>
      </c>
      <c r="F11" s="1" t="s">
        <v>697</v>
      </c>
      <c r="G11" s="1" t="s">
        <v>462</v>
      </c>
      <c r="H11" s="1" t="s">
        <v>817</v>
      </c>
      <c r="I11" s="1" t="s">
        <v>818</v>
      </c>
      <c r="J11" s="1" t="s">
        <v>673</v>
      </c>
      <c r="K11" s="1" t="s">
        <v>673</v>
      </c>
      <c r="L11" s="1" t="s">
        <v>673</v>
      </c>
      <c r="M11" s="1" t="s">
        <v>673</v>
      </c>
      <c r="N11" s="1" t="s">
        <v>673</v>
      </c>
    </row>
    <row r="12" ht="14.25" customHeight="1" spans="1:14" x14ac:dyDescent="0.25">
      <c r="A12" s="1">
        <v>12</v>
      </c>
      <c r="B12" s="1" t="s">
        <v>668</v>
      </c>
      <c r="C12" s="1">
        <v>12</v>
      </c>
      <c r="D12" s="2">
        <v>46174</v>
      </c>
      <c r="E12" s="1" t="s">
        <v>699</v>
      </c>
      <c r="F12" s="1" t="s">
        <v>700</v>
      </c>
      <c r="G12" s="1" t="s">
        <v>701</v>
      </c>
      <c r="H12" s="1" t="s">
        <v>676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702</v>
      </c>
      <c r="N12" s="1" t="s">
        <v>673</v>
      </c>
    </row>
    <row r="13" ht="14.25" customHeight="1" spans="1:14" x14ac:dyDescent="0.25">
      <c r="A13" s="1">
        <v>13</v>
      </c>
      <c r="B13" s="1" t="s">
        <v>668</v>
      </c>
      <c r="C13" s="1">
        <v>13</v>
      </c>
      <c r="D13" s="2">
        <v>46175</v>
      </c>
      <c r="E13" s="1" t="s">
        <v>703</v>
      </c>
      <c r="F13" s="1" t="s">
        <v>700</v>
      </c>
      <c r="G13" s="1" t="s">
        <v>704</v>
      </c>
      <c r="H13" s="1" t="s">
        <v>676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702</v>
      </c>
      <c r="N13" s="1" t="s">
        <v>673</v>
      </c>
    </row>
    <row r="14" ht="14.25" customHeight="1" spans="1:14" x14ac:dyDescent="0.25">
      <c r="A14" s="1">
        <v>14</v>
      </c>
      <c r="B14" s="1" t="s">
        <v>668</v>
      </c>
      <c r="C14" s="1">
        <v>14</v>
      </c>
      <c r="D14" s="2">
        <v>46540</v>
      </c>
      <c r="E14" s="1" t="s">
        <v>539</v>
      </c>
      <c r="F14" s="1" t="s">
        <v>700</v>
      </c>
      <c r="G14" s="1" t="s">
        <v>541</v>
      </c>
      <c r="H14" s="1" t="s">
        <v>676</v>
      </c>
      <c r="I14" s="1">
        <v>5</v>
      </c>
      <c r="J14" s="2">
        <v>46204</v>
      </c>
      <c r="K14" s="2">
        <v>46208</v>
      </c>
      <c r="L14" s="2">
        <v>46209</v>
      </c>
      <c r="M14" s="1" t="s">
        <v>705</v>
      </c>
      <c r="N14" s="1" t="s">
        <v>673</v>
      </c>
    </row>
    <row r="15" ht="14.25" customHeight="1" spans="1:14" x14ac:dyDescent="0.25">
      <c r="A15" s="1">
        <v>15</v>
      </c>
      <c r="B15" s="1" t="s">
        <v>668</v>
      </c>
      <c r="C15" s="1">
        <v>15</v>
      </c>
      <c r="D15" s="2">
        <v>46178</v>
      </c>
      <c r="E15" s="1" t="s">
        <v>540</v>
      </c>
      <c r="F15" s="1" t="s">
        <v>700</v>
      </c>
      <c r="G15" s="1" t="s">
        <v>706</v>
      </c>
      <c r="H15" s="1" t="s">
        <v>518</v>
      </c>
      <c r="I15" s="1">
        <v>7</v>
      </c>
      <c r="J15" s="2">
        <v>46197</v>
      </c>
      <c r="K15" s="2">
        <v>46203</v>
      </c>
      <c r="L15" s="2">
        <v>46204</v>
      </c>
      <c r="M15" s="1" t="s">
        <v>707</v>
      </c>
      <c r="N15" s="1" t="s">
        <v>673</v>
      </c>
    </row>
    <row r="16" ht="14.25" customHeight="1" spans="1:15" x14ac:dyDescent="0.25">
      <c r="A16" s="1">
        <v>16</v>
      </c>
      <c r="B16" s="1" t="s">
        <v>668</v>
      </c>
      <c r="C16" s="1">
        <v>16</v>
      </c>
      <c r="D16" s="2">
        <v>46170</v>
      </c>
      <c r="E16" s="1" t="s">
        <v>580</v>
      </c>
      <c r="F16" s="1" t="s">
        <v>708</v>
      </c>
      <c r="G16" s="1" t="s">
        <v>502</v>
      </c>
      <c r="H16" s="1" t="s">
        <v>709</v>
      </c>
      <c r="I16" s="1">
        <v>10</v>
      </c>
      <c r="J16" s="2">
        <v>46175</v>
      </c>
      <c r="K16" s="2">
        <v>46184</v>
      </c>
      <c r="L16" s="1" t="s">
        <v>673</v>
      </c>
      <c r="M16" s="1" t="s">
        <v>710</v>
      </c>
      <c r="N16" s="1" t="s">
        <v>710</v>
      </c>
      <c r="O16" s="1" t="s">
        <v>710</v>
      </c>
    </row>
    <row r="17" ht="14.25" customHeight="1" spans="1:14" x14ac:dyDescent="0.25">
      <c r="A17" s="1">
        <v>17</v>
      </c>
      <c r="B17" s="1" t="s">
        <v>668</v>
      </c>
      <c r="C17" s="1">
        <v>17</v>
      </c>
      <c r="D17" s="2">
        <v>46125</v>
      </c>
      <c r="E17" s="1" t="s">
        <v>314</v>
      </c>
      <c r="F17" s="1" t="s">
        <v>711</v>
      </c>
      <c r="G17" s="1" t="s">
        <v>712</v>
      </c>
      <c r="H17" s="1" t="s">
        <v>671</v>
      </c>
      <c r="I17" s="1">
        <v>3</v>
      </c>
      <c r="J17" s="2">
        <v>46129</v>
      </c>
      <c r="K17" s="2">
        <v>46131</v>
      </c>
      <c r="L17" s="2">
        <v>46132</v>
      </c>
      <c r="M17" s="1" t="s">
        <v>673</v>
      </c>
      <c r="N17" s="1" t="s">
        <v>707</v>
      </c>
    </row>
    <row r="18" ht="14.25" customHeight="1" spans="1:14" x14ac:dyDescent="0.25">
      <c r="A18" s="1">
        <v>18</v>
      </c>
      <c r="B18" s="1" t="s">
        <v>668</v>
      </c>
      <c r="C18" s="1">
        <v>18</v>
      </c>
      <c r="D18" s="2">
        <v>46160</v>
      </c>
      <c r="E18" s="1" t="s">
        <v>713</v>
      </c>
      <c r="F18" s="1" t="s">
        <v>714</v>
      </c>
      <c r="G18" s="1" t="s">
        <v>630</v>
      </c>
      <c r="H18" s="1" t="s">
        <v>671</v>
      </c>
      <c r="I18" s="109">
        <v>46143</v>
      </c>
      <c r="J18" s="2">
        <v>46171</v>
      </c>
      <c r="K18" s="2">
        <v>46175</v>
      </c>
      <c r="L18" s="1" t="s">
        <v>673</v>
      </c>
      <c r="M18" s="1" t="s">
        <v>673</v>
      </c>
      <c r="N18" s="1" t="s">
        <v>673</v>
      </c>
    </row>
    <row r="19" ht="14.25" customHeight="1" spans="1:14" x14ac:dyDescent="0.25">
      <c r="A19" s="1">
        <v>19</v>
      </c>
      <c r="B19" s="1" t="s">
        <v>668</v>
      </c>
      <c r="C19" s="1">
        <v>19</v>
      </c>
      <c r="D19" s="1" t="s">
        <v>673</v>
      </c>
      <c r="E19" s="1" t="s">
        <v>715</v>
      </c>
      <c r="F19" s="1" t="s">
        <v>711</v>
      </c>
      <c r="G19" s="1" t="s">
        <v>483</v>
      </c>
      <c r="H19" s="1" t="s">
        <v>671</v>
      </c>
      <c r="I19" s="1">
        <v>4</v>
      </c>
      <c r="J19" s="2">
        <v>46132</v>
      </c>
      <c r="K19" s="2">
        <v>46136</v>
      </c>
      <c r="L19" s="2">
        <v>46137</v>
      </c>
      <c r="M19" s="1" t="s">
        <v>673</v>
      </c>
      <c r="N19" s="1" t="s">
        <v>707</v>
      </c>
    </row>
    <row r="20" ht="14.25" customHeight="1" spans="1:14" x14ac:dyDescent="0.25">
      <c r="A20" s="1">
        <v>21</v>
      </c>
      <c r="B20" s="1" t="s">
        <v>668</v>
      </c>
      <c r="C20" s="1">
        <v>21</v>
      </c>
      <c r="D20" s="2">
        <v>46141</v>
      </c>
      <c r="E20" s="1" t="s">
        <v>717</v>
      </c>
      <c r="F20" s="1" t="s">
        <v>718</v>
      </c>
      <c r="G20" s="1" t="s">
        <v>553</v>
      </c>
      <c r="H20" s="1" t="s">
        <v>676</v>
      </c>
      <c r="I20" s="1">
        <v>4</v>
      </c>
      <c r="J20" s="2">
        <v>46135</v>
      </c>
      <c r="K20" s="1" t="s">
        <v>673</v>
      </c>
      <c r="L20" s="1" t="s">
        <v>673</v>
      </c>
      <c r="M20" s="1" t="s">
        <v>707</v>
      </c>
      <c r="N20" s="1" t="s">
        <v>677</v>
      </c>
    </row>
    <row r="21" ht="14.25" customHeight="1" spans="1:14" x14ac:dyDescent="0.25">
      <c r="A21" s="1">
        <v>22</v>
      </c>
      <c r="B21" s="1" t="s">
        <v>668</v>
      </c>
      <c r="C21" s="1">
        <v>22</v>
      </c>
      <c r="D21" s="2">
        <v>46130</v>
      </c>
      <c r="E21" s="1" t="s">
        <v>719</v>
      </c>
      <c r="F21" s="1" t="s">
        <v>720</v>
      </c>
      <c r="G21" s="1" t="s">
        <v>673</v>
      </c>
      <c r="H21" s="1" t="s">
        <v>676</v>
      </c>
      <c r="I21" s="1" t="s">
        <v>692</v>
      </c>
      <c r="J21" s="2">
        <v>46130</v>
      </c>
      <c r="K21" s="2">
        <v>46131</v>
      </c>
      <c r="L21" s="2">
        <v>46132</v>
      </c>
      <c r="M21" s="1" t="s">
        <v>673</v>
      </c>
      <c r="N21" s="1" t="s">
        <v>673</v>
      </c>
    </row>
    <row r="22" ht="14.25" customHeight="1" spans="1:14" x14ac:dyDescent="0.25">
      <c r="A22" s="1">
        <v>23</v>
      </c>
      <c r="B22" s="1" t="s">
        <v>668</v>
      </c>
      <c r="C22" s="1">
        <v>23</v>
      </c>
      <c r="D22" s="2">
        <v>46134</v>
      </c>
      <c r="E22" s="1" t="s">
        <v>721</v>
      </c>
      <c r="F22" s="1" t="s">
        <v>722</v>
      </c>
      <c r="G22" s="1" t="s">
        <v>723</v>
      </c>
      <c r="H22" s="1" t="s">
        <v>671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673</v>
      </c>
      <c r="N22" s="1" t="s">
        <v>673</v>
      </c>
    </row>
    <row r="23" ht="14.25" customHeight="1" spans="1:14" x14ac:dyDescent="0.25">
      <c r="A23" s="1">
        <v>24</v>
      </c>
      <c r="B23" s="1" t="s">
        <v>668</v>
      </c>
      <c r="C23" s="1">
        <v>24</v>
      </c>
      <c r="D23" s="2">
        <v>46135</v>
      </c>
      <c r="E23" s="1" t="s">
        <v>717</v>
      </c>
      <c r="F23" s="1" t="s">
        <v>819</v>
      </c>
      <c r="G23" s="1" t="s">
        <v>553</v>
      </c>
      <c r="H23" s="1" t="s">
        <v>676</v>
      </c>
      <c r="I23" s="1" t="s">
        <v>692</v>
      </c>
      <c r="J23" s="1" t="s">
        <v>673</v>
      </c>
      <c r="K23" s="1" t="s">
        <v>673</v>
      </c>
      <c r="L23" s="2">
        <v>46136</v>
      </c>
      <c r="M23" s="1" t="s">
        <v>673</v>
      </c>
      <c r="N23" s="1" t="s">
        <v>673</v>
      </c>
    </row>
    <row r="24" ht="14.25" customHeight="1" spans="1:14" x14ac:dyDescent="0.25">
      <c r="A24" s="1">
        <v>25</v>
      </c>
      <c r="B24" s="1" t="s">
        <v>668</v>
      </c>
      <c r="C24" s="1">
        <v>25</v>
      </c>
      <c r="D24" s="2">
        <v>46139</v>
      </c>
      <c r="E24" s="1" t="s">
        <v>820</v>
      </c>
      <c r="F24" s="1" t="s">
        <v>711</v>
      </c>
      <c r="G24" s="1" t="s">
        <v>724</v>
      </c>
      <c r="H24" s="1" t="s">
        <v>725</v>
      </c>
      <c r="I24" s="1">
        <v>2</v>
      </c>
      <c r="J24" s="2">
        <v>46141</v>
      </c>
      <c r="K24" s="2">
        <v>46148</v>
      </c>
      <c r="L24" s="2">
        <v>46272</v>
      </c>
      <c r="M24" s="1" t="s">
        <v>726</v>
      </c>
      <c r="N24" s="1" t="s">
        <v>673</v>
      </c>
    </row>
    <row r="25" ht="14.25" customHeight="1" spans="1:14" x14ac:dyDescent="0.25">
      <c r="A25" s="1">
        <v>26</v>
      </c>
      <c r="B25" s="1" t="s">
        <v>668</v>
      </c>
      <c r="C25" s="1">
        <v>26</v>
      </c>
      <c r="D25" s="2">
        <v>46146</v>
      </c>
      <c r="E25" s="1" t="s">
        <v>717</v>
      </c>
      <c r="F25" s="1" t="s">
        <v>718</v>
      </c>
      <c r="G25" s="1" t="s">
        <v>553</v>
      </c>
      <c r="H25" s="1" t="s">
        <v>676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707</v>
      </c>
      <c r="N25" s="1" t="s">
        <v>673</v>
      </c>
    </row>
    <row r="26" ht="14.25" customHeight="1" spans="1:14" x14ac:dyDescent="0.25">
      <c r="A26" s="1">
        <v>27</v>
      </c>
      <c r="B26" s="1" t="s">
        <v>668</v>
      </c>
      <c r="C26" s="1">
        <v>27</v>
      </c>
      <c r="D26" s="1" t="s">
        <v>673</v>
      </c>
      <c r="E26" s="1" t="s">
        <v>727</v>
      </c>
      <c r="F26" s="1" t="s">
        <v>728</v>
      </c>
      <c r="G26" s="1" t="s">
        <v>502</v>
      </c>
      <c r="H26" s="1" t="s">
        <v>676</v>
      </c>
      <c r="I26" s="1" t="s">
        <v>692</v>
      </c>
      <c r="J26" s="2">
        <v>46136</v>
      </c>
      <c r="K26" s="2">
        <v>46147</v>
      </c>
      <c r="L26" s="2">
        <v>46148</v>
      </c>
      <c r="M26" s="1" t="s">
        <v>673</v>
      </c>
      <c r="N26" s="1" t="s">
        <v>673</v>
      </c>
    </row>
    <row r="27" ht="14.25" customHeight="1" spans="1:14" x14ac:dyDescent="0.25">
      <c r="A27" s="1">
        <v>31</v>
      </c>
      <c r="B27" s="1" t="s">
        <v>668</v>
      </c>
      <c r="C27" s="1">
        <v>31</v>
      </c>
      <c r="D27" s="2">
        <v>46157</v>
      </c>
      <c r="E27" s="1" t="s">
        <v>730</v>
      </c>
      <c r="F27" s="1" t="s">
        <v>731</v>
      </c>
      <c r="G27" s="1" t="s">
        <v>502</v>
      </c>
      <c r="H27" s="1" t="s">
        <v>671</v>
      </c>
      <c r="I27" s="1">
        <v>2</v>
      </c>
      <c r="J27" s="2">
        <v>46162</v>
      </c>
      <c r="K27" s="2">
        <v>46163</v>
      </c>
      <c r="L27" s="2">
        <v>46164</v>
      </c>
      <c r="M27" s="1" t="s">
        <v>673</v>
      </c>
      <c r="N27" s="1" t="s">
        <v>673</v>
      </c>
    </row>
    <row r="28" ht="14.25" customHeight="1" spans="1:14" x14ac:dyDescent="0.25">
      <c r="A28" s="1">
        <v>32</v>
      </c>
      <c r="B28" s="1" t="s">
        <v>668</v>
      </c>
      <c r="C28" s="1">
        <v>32</v>
      </c>
      <c r="D28" s="2">
        <v>46157</v>
      </c>
      <c r="E28" s="1" t="s">
        <v>332</v>
      </c>
      <c r="F28" s="1" t="s">
        <v>732</v>
      </c>
      <c r="G28" s="1" t="s">
        <v>683</v>
      </c>
      <c r="H28" s="1" t="s">
        <v>671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733</v>
      </c>
      <c r="N28" s="1" t="s">
        <v>734</v>
      </c>
    </row>
    <row r="29" ht="14.25" customHeight="1" spans="1:14" x14ac:dyDescent="0.25">
      <c r="A29" s="1">
        <v>33</v>
      </c>
      <c r="B29" s="1" t="s">
        <v>668</v>
      </c>
      <c r="C29" s="1">
        <v>33</v>
      </c>
      <c r="D29" s="2">
        <v>46157</v>
      </c>
      <c r="E29" s="1" t="s">
        <v>65</v>
      </c>
      <c r="F29" s="1" t="s">
        <v>711</v>
      </c>
      <c r="G29" s="1" t="s">
        <v>735</v>
      </c>
      <c r="H29" s="1" t="s">
        <v>671</v>
      </c>
      <c r="I29" s="1">
        <v>1</v>
      </c>
      <c r="J29" s="2">
        <v>46158</v>
      </c>
      <c r="K29" s="2">
        <v>46158</v>
      </c>
      <c r="L29" s="1" t="s">
        <v>673</v>
      </c>
      <c r="M29" s="1" t="s">
        <v>707</v>
      </c>
      <c r="N29" s="1" t="s">
        <v>673</v>
      </c>
    </row>
    <row r="30" ht="14.25" customHeight="1" spans="1:14" x14ac:dyDescent="0.25">
      <c r="A30" s="1">
        <v>35</v>
      </c>
      <c r="B30" s="1" t="s">
        <v>736</v>
      </c>
      <c r="C30" s="1">
        <v>1</v>
      </c>
      <c r="D30" s="2">
        <v>46146</v>
      </c>
      <c r="E30" s="1" t="s">
        <v>821</v>
      </c>
      <c r="F30" s="1" t="s">
        <v>679</v>
      </c>
      <c r="G30" s="1" t="s">
        <v>673</v>
      </c>
      <c r="H30" s="1" t="s">
        <v>671</v>
      </c>
      <c r="I30" s="1">
        <v>6</v>
      </c>
      <c r="J30" s="2">
        <v>46146</v>
      </c>
      <c r="K30" s="1" t="s">
        <v>673</v>
      </c>
      <c r="L30" s="1" t="s">
        <v>673</v>
      </c>
      <c r="M30" s="1" t="s">
        <v>673</v>
      </c>
      <c r="N30" s="1" t="s">
        <v>673</v>
      </c>
    </row>
    <row r="31" ht="14.25" customHeight="1" spans="1:14" x14ac:dyDescent="0.25">
      <c r="A31" s="1">
        <v>36</v>
      </c>
      <c r="B31" s="1" t="s">
        <v>736</v>
      </c>
      <c r="C31" s="1">
        <v>2</v>
      </c>
      <c r="D31" s="2">
        <v>46176</v>
      </c>
      <c r="E31" s="1" t="s">
        <v>822</v>
      </c>
      <c r="F31" s="1" t="s">
        <v>739</v>
      </c>
      <c r="G31" s="1" t="s">
        <v>462</v>
      </c>
      <c r="H31" s="1" t="s">
        <v>676</v>
      </c>
      <c r="I31" s="1">
        <v>2</v>
      </c>
      <c r="J31" s="2">
        <v>46181</v>
      </c>
      <c r="K31" s="2">
        <v>46182</v>
      </c>
      <c r="L31" s="2">
        <v>46183</v>
      </c>
      <c r="M31" s="1" t="s">
        <v>726</v>
      </c>
      <c r="N31" s="1" t="s">
        <v>673</v>
      </c>
    </row>
    <row r="32" ht="14.25" customHeight="1" spans="1:14" x14ac:dyDescent="0.25">
      <c r="A32" s="1">
        <v>37</v>
      </c>
      <c r="B32" s="1" t="s">
        <v>736</v>
      </c>
      <c r="C32" s="1">
        <v>3</v>
      </c>
      <c r="D32" s="2">
        <v>46177</v>
      </c>
      <c r="E32" s="1" t="s">
        <v>415</v>
      </c>
      <c r="F32" s="1" t="s">
        <v>740</v>
      </c>
      <c r="G32" s="1" t="s">
        <v>619</v>
      </c>
      <c r="H32" s="1" t="s">
        <v>676</v>
      </c>
      <c r="I32" s="1">
        <v>4</v>
      </c>
      <c r="J32" s="2">
        <v>46177</v>
      </c>
      <c r="K32" s="2">
        <v>46180</v>
      </c>
      <c r="L32" s="2">
        <v>46181</v>
      </c>
      <c r="M32" s="1" t="s">
        <v>702</v>
      </c>
      <c r="N32" s="1" t="s">
        <v>673</v>
      </c>
    </row>
    <row r="33" ht="14.25" customHeight="1" spans="1:14" x14ac:dyDescent="0.25">
      <c r="A33" s="1">
        <v>38</v>
      </c>
      <c r="B33" s="1" t="s">
        <v>736</v>
      </c>
      <c r="C33" s="1">
        <v>4</v>
      </c>
      <c r="D33" s="2">
        <v>46188</v>
      </c>
      <c r="E33" s="1" t="s">
        <v>742</v>
      </c>
      <c r="F33" s="1" t="s">
        <v>743</v>
      </c>
      <c r="G33" s="1" t="s">
        <v>744</v>
      </c>
      <c r="H33" s="1" t="s">
        <v>671</v>
      </c>
      <c r="I33" s="1">
        <v>2</v>
      </c>
      <c r="J33" s="2">
        <v>46188</v>
      </c>
      <c r="K33" s="2">
        <v>46189</v>
      </c>
      <c r="L33" s="2">
        <v>46251</v>
      </c>
      <c r="M33" s="1" t="s">
        <v>726</v>
      </c>
      <c r="N33" s="1" t="s">
        <v>673</v>
      </c>
    </row>
    <row r="34" ht="14.25" customHeight="1" spans="1:14" x14ac:dyDescent="0.25">
      <c r="A34" s="1">
        <v>39</v>
      </c>
      <c r="B34" s="1" t="s">
        <v>736</v>
      </c>
      <c r="C34" s="1">
        <v>5</v>
      </c>
      <c r="D34" s="2">
        <v>46192</v>
      </c>
      <c r="E34" s="1" t="s">
        <v>745</v>
      </c>
      <c r="F34" s="1" t="s">
        <v>711</v>
      </c>
      <c r="G34" s="1" t="s">
        <v>526</v>
      </c>
      <c r="H34" s="1" t="s">
        <v>671</v>
      </c>
      <c r="I34" s="1">
        <v>3</v>
      </c>
      <c r="J34" s="2">
        <v>46204</v>
      </c>
      <c r="K34" s="2">
        <v>46206</v>
      </c>
      <c r="L34" s="2">
        <v>46207</v>
      </c>
      <c r="M34" s="1" t="s">
        <v>746</v>
      </c>
      <c r="N34" s="1" t="s">
        <v>673</v>
      </c>
    </row>
    <row r="35" ht="14.25" customHeight="1" spans="1:14" x14ac:dyDescent="0.25">
      <c r="A35" s="1">
        <v>40</v>
      </c>
      <c r="B35" s="1" t="s">
        <v>736</v>
      </c>
      <c r="C35" s="1">
        <v>6</v>
      </c>
      <c r="D35" s="2">
        <v>46202</v>
      </c>
      <c r="E35" s="1" t="s">
        <v>748</v>
      </c>
      <c r="F35" s="1" t="s">
        <v>749</v>
      </c>
      <c r="G35" s="1" t="s">
        <v>750</v>
      </c>
      <c r="H35" s="1" t="s">
        <v>671</v>
      </c>
      <c r="I35" s="1">
        <v>5</v>
      </c>
      <c r="J35" s="2">
        <v>46202</v>
      </c>
      <c r="K35" s="2">
        <v>46208</v>
      </c>
      <c r="L35" s="2">
        <v>46209</v>
      </c>
      <c r="M35" s="1" t="s">
        <v>751</v>
      </c>
      <c r="N35" s="1" t="s">
        <v>673</v>
      </c>
    </row>
    <row r="36" ht="14.25" customHeight="1" spans="1:14" x14ac:dyDescent="0.25">
      <c r="A36" s="1">
        <v>41</v>
      </c>
      <c r="B36" s="1" t="s">
        <v>736</v>
      </c>
      <c r="C36" s="1">
        <v>7</v>
      </c>
      <c r="D36" s="2">
        <v>46192</v>
      </c>
      <c r="E36" s="1" t="s">
        <v>753</v>
      </c>
      <c r="F36" s="1" t="s">
        <v>754</v>
      </c>
      <c r="G36" s="1" t="s">
        <v>526</v>
      </c>
      <c r="H36" s="1" t="s">
        <v>671</v>
      </c>
      <c r="I36" s="1">
        <v>3</v>
      </c>
      <c r="J36" s="2">
        <v>46195</v>
      </c>
      <c r="K36" s="2">
        <v>46198</v>
      </c>
      <c r="L36" s="1" t="s">
        <v>673</v>
      </c>
      <c r="M36" s="1" t="s">
        <v>755</v>
      </c>
      <c r="N36" s="1" t="s">
        <v>673</v>
      </c>
    </row>
    <row r="37" ht="14.25" customHeight="1" spans="1:14" x14ac:dyDescent="0.25">
      <c r="A37" s="1">
        <v>42</v>
      </c>
      <c r="B37" s="1" t="s">
        <v>736</v>
      </c>
      <c r="C37" s="1">
        <v>8</v>
      </c>
      <c r="D37" s="2">
        <v>46193</v>
      </c>
      <c r="E37" s="1" t="s">
        <v>756</v>
      </c>
      <c r="F37" s="1" t="s">
        <v>757</v>
      </c>
      <c r="G37" s="1" t="s">
        <v>526</v>
      </c>
      <c r="H37" s="1" t="s">
        <v>758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707</v>
      </c>
      <c r="N37" s="1" t="s">
        <v>673</v>
      </c>
    </row>
    <row r="38" ht="14.25" customHeight="1" spans="1:14" x14ac:dyDescent="0.25">
      <c r="A38" s="1">
        <v>43</v>
      </c>
      <c r="B38" s="1" t="s">
        <v>736</v>
      </c>
      <c r="C38" s="1">
        <v>9</v>
      </c>
      <c r="D38" s="2">
        <v>46195</v>
      </c>
      <c r="E38" s="1" t="s">
        <v>159</v>
      </c>
      <c r="F38" s="1" t="s">
        <v>711</v>
      </c>
      <c r="G38" s="1" t="s">
        <v>526</v>
      </c>
      <c r="H38" s="1" t="s">
        <v>671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707</v>
      </c>
      <c r="N38" s="1" t="s">
        <v>673</v>
      </c>
    </row>
    <row r="39" ht="14.25" customHeight="1" spans="1:14" x14ac:dyDescent="0.25">
      <c r="A39" s="1">
        <v>44</v>
      </c>
      <c r="B39" s="1" t="s">
        <v>736</v>
      </c>
      <c r="C39" s="1">
        <v>10</v>
      </c>
      <c r="D39" s="2">
        <v>46195</v>
      </c>
      <c r="E39" s="1" t="s">
        <v>760</v>
      </c>
      <c r="F39" s="1" t="s">
        <v>761</v>
      </c>
      <c r="G39" s="1" t="s">
        <v>762</v>
      </c>
      <c r="H39" s="1" t="s">
        <v>671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763</v>
      </c>
      <c r="N39" s="1" t="s">
        <v>673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823</v>
      </c>
      <c r="B1" s="1" t="s">
        <v>824</v>
      </c>
      <c r="C1" s="1" t="s">
        <v>553</v>
      </c>
      <c r="D1" s="1" t="s">
        <v>676</v>
      </c>
      <c r="E1" s="101">
        <v>46132</v>
      </c>
      <c r="F1" s="101">
        <v>46136</v>
      </c>
      <c r="G1" s="1" t="s">
        <v>825</v>
      </c>
      <c r="H1" s="1" t="s">
        <v>455</v>
      </c>
    </row>
    <row r="2" ht="14.25" customHeight="1" spans="1:8" x14ac:dyDescent="0.25">
      <c r="A2" s="1" t="s">
        <v>823</v>
      </c>
      <c r="B2" s="1" t="s">
        <v>826</v>
      </c>
      <c r="D2" s="1" t="s">
        <v>676</v>
      </c>
      <c r="E2" s="101">
        <v>46130</v>
      </c>
      <c r="F2" s="101">
        <v>46131</v>
      </c>
      <c r="G2" s="1" t="s">
        <v>827</v>
      </c>
      <c r="H2" s="1" t="s">
        <v>455</v>
      </c>
    </row>
    <row r="3" ht="14.25" customHeight="1" spans="1:8" x14ac:dyDescent="0.25">
      <c r="A3" s="1" t="s">
        <v>823</v>
      </c>
      <c r="B3" s="1" t="s">
        <v>828</v>
      </c>
      <c r="C3" s="1" t="s">
        <v>483</v>
      </c>
      <c r="D3" s="1" t="s">
        <v>671</v>
      </c>
      <c r="E3" s="101">
        <v>46132</v>
      </c>
      <c r="F3" s="101">
        <v>46136</v>
      </c>
      <c r="G3" s="1" t="s">
        <v>825</v>
      </c>
      <c r="H3" s="1" t="s">
        <v>455</v>
      </c>
    </row>
    <row r="4" ht="14.25" customHeight="1" spans="1:8" x14ac:dyDescent="0.25">
      <c r="A4" s="1" t="s">
        <v>823</v>
      </c>
      <c r="B4" s="1" t="s">
        <v>829</v>
      </c>
      <c r="C4" s="1" t="s">
        <v>502</v>
      </c>
      <c r="D4" s="1" t="s">
        <v>671</v>
      </c>
      <c r="E4" s="101">
        <v>46101</v>
      </c>
      <c r="F4" s="101">
        <v>46102</v>
      </c>
      <c r="G4" s="1" t="s">
        <v>830</v>
      </c>
      <c r="H4" s="1" t="s">
        <v>455</v>
      </c>
    </row>
    <row r="5" ht="14.25" customHeight="1" spans="1:8" x14ac:dyDescent="0.25">
      <c r="A5" s="1" t="s">
        <v>823</v>
      </c>
      <c r="B5" s="1" t="s">
        <v>314</v>
      </c>
      <c r="C5" s="1" t="s">
        <v>712</v>
      </c>
      <c r="D5" s="1" t="s">
        <v>671</v>
      </c>
      <c r="E5" s="101">
        <v>46129</v>
      </c>
      <c r="F5" s="101">
        <v>46131</v>
      </c>
      <c r="G5" s="1" t="s">
        <v>830</v>
      </c>
      <c r="H5" s="1" t="s">
        <v>455</v>
      </c>
    </row>
    <row r="6" ht="14.25" customHeight="1" spans="1:8" x14ac:dyDescent="0.25">
      <c r="A6" s="1" t="s">
        <v>831</v>
      </c>
      <c r="B6" s="1" t="s">
        <v>832</v>
      </c>
      <c r="C6" s="1" t="s">
        <v>553</v>
      </c>
      <c r="D6" s="1" t="s">
        <v>676</v>
      </c>
      <c r="E6" s="101">
        <v>46147</v>
      </c>
      <c r="F6" s="101">
        <v>46158</v>
      </c>
      <c r="G6" s="1" t="s">
        <v>833</v>
      </c>
      <c r="H6" s="1" t="s">
        <v>455</v>
      </c>
    </row>
    <row r="7" ht="14.25" customHeight="1" spans="1:8" x14ac:dyDescent="0.25">
      <c r="A7" s="1" t="s">
        <v>831</v>
      </c>
      <c r="B7" s="1" t="s">
        <v>834</v>
      </c>
      <c r="C7" s="1" t="s">
        <v>502</v>
      </c>
      <c r="D7" s="1" t="s">
        <v>676</v>
      </c>
      <c r="E7" s="101">
        <v>46146</v>
      </c>
      <c r="F7" s="101">
        <v>46147</v>
      </c>
      <c r="G7" s="1" t="s">
        <v>827</v>
      </c>
      <c r="H7" s="1" t="s">
        <v>455</v>
      </c>
    </row>
    <row r="8" ht="14.25" customHeight="1" spans="1:8" x14ac:dyDescent="0.25">
      <c r="A8" s="1" t="s">
        <v>831</v>
      </c>
      <c r="B8" s="1" t="s">
        <v>579</v>
      </c>
      <c r="C8" s="1" t="s">
        <v>724</v>
      </c>
      <c r="D8" s="1" t="s">
        <v>725</v>
      </c>
      <c r="E8" s="101">
        <v>46141</v>
      </c>
      <c r="F8" s="101">
        <v>46148</v>
      </c>
      <c r="G8" s="1" t="s">
        <v>830</v>
      </c>
      <c r="H8" s="1" t="s">
        <v>455</v>
      </c>
    </row>
    <row r="9" ht="14.25" customHeight="1" spans="1:8" x14ac:dyDescent="0.25">
      <c r="A9" s="1" t="s">
        <v>835</v>
      </c>
      <c r="B9" s="1" t="s">
        <v>836</v>
      </c>
      <c r="C9" s="1" t="s">
        <v>694</v>
      </c>
      <c r="D9" s="1" t="s">
        <v>676</v>
      </c>
      <c r="E9" s="101">
        <v>46153</v>
      </c>
      <c r="F9" s="101">
        <v>46167</v>
      </c>
      <c r="G9" s="1" t="s">
        <v>837</v>
      </c>
      <c r="H9" s="1" t="s">
        <v>455</v>
      </c>
    </row>
    <row r="10" ht="14.25" customHeight="1" spans="1:8" x14ac:dyDescent="0.25">
      <c r="A10" s="1" t="s">
        <v>835</v>
      </c>
      <c r="B10" s="1" t="s">
        <v>365</v>
      </c>
      <c r="C10" s="1" t="s">
        <v>838</v>
      </c>
      <c r="D10" s="1" t="s">
        <v>676</v>
      </c>
      <c r="E10" s="101">
        <v>46153</v>
      </c>
      <c r="F10" s="101">
        <v>46167</v>
      </c>
      <c r="G10" s="1" t="s">
        <v>837</v>
      </c>
      <c r="H10" s="1" t="s">
        <v>455</v>
      </c>
    </row>
    <row r="11" ht="14.25" customHeight="1" spans="1:8" x14ac:dyDescent="0.25">
      <c r="A11" s="1" t="s">
        <v>839</v>
      </c>
      <c r="B11" s="1" t="s">
        <v>65</v>
      </c>
      <c r="C11" s="1" t="s">
        <v>735</v>
      </c>
      <c r="D11" s="1" t="s">
        <v>671</v>
      </c>
      <c r="E11" s="101">
        <v>46158</v>
      </c>
      <c r="F11" s="101">
        <v>46158</v>
      </c>
      <c r="G11" s="1" t="s">
        <v>827</v>
      </c>
      <c r="H11" s="1" t="s">
        <v>455</v>
      </c>
    </row>
    <row r="12" ht="14.25" customHeight="1" spans="1:8" x14ac:dyDescent="0.25">
      <c r="A12" s="1" t="s">
        <v>840</v>
      </c>
      <c r="B12" s="1" t="s">
        <v>678</v>
      </c>
      <c r="C12" s="1" t="s">
        <v>841</v>
      </c>
      <c r="D12" s="1" t="s">
        <v>842</v>
      </c>
      <c r="E12" s="101">
        <v>46160</v>
      </c>
      <c r="F12" s="101">
        <v>46164</v>
      </c>
      <c r="G12" s="1" t="s">
        <v>843</v>
      </c>
      <c r="H12" s="1" t="s">
        <v>455</v>
      </c>
    </row>
    <row r="13" ht="14.25" customHeight="1" spans="1:8" x14ac:dyDescent="0.25">
      <c r="A13" s="1" t="s">
        <v>840</v>
      </c>
      <c r="B13" s="1" t="s">
        <v>669</v>
      </c>
      <c r="C13" s="1" t="s">
        <v>462</v>
      </c>
      <c r="D13" s="1" t="s">
        <v>676</v>
      </c>
      <c r="E13" s="101">
        <v>46174</v>
      </c>
      <c r="F13" s="101">
        <v>46176</v>
      </c>
      <c r="G13" s="1" t="s">
        <v>830</v>
      </c>
      <c r="H13" s="1" t="s">
        <v>455</v>
      </c>
    </row>
    <row r="14" ht="14.25" customHeight="1" spans="1:8" x14ac:dyDescent="0.25">
      <c r="A14" s="1" t="s">
        <v>840</v>
      </c>
      <c r="B14" s="1" t="s">
        <v>721</v>
      </c>
      <c r="C14" s="1" t="s">
        <v>723</v>
      </c>
      <c r="D14" s="1" t="s">
        <v>671</v>
      </c>
      <c r="E14" s="101">
        <v>46163</v>
      </c>
      <c r="F14" s="101">
        <v>46176</v>
      </c>
      <c r="G14" s="1" t="s">
        <v>844</v>
      </c>
      <c r="H14" s="1" t="s">
        <v>455</v>
      </c>
    </row>
    <row r="15" ht="14.25" customHeight="1" spans="1:8" x14ac:dyDescent="0.25">
      <c r="A15" s="1" t="s">
        <v>840</v>
      </c>
      <c r="B15" s="1" t="s">
        <v>332</v>
      </c>
      <c r="C15" s="1" t="s">
        <v>683</v>
      </c>
      <c r="D15" s="1" t="s">
        <v>671</v>
      </c>
      <c r="E15" s="101">
        <v>46160</v>
      </c>
      <c r="F15" s="101">
        <v>46164</v>
      </c>
      <c r="G15" s="1" t="s">
        <v>845</v>
      </c>
      <c r="H15" s="1" t="s">
        <v>455</v>
      </c>
    </row>
    <row r="16" ht="14.25" customHeight="1" spans="1:8" x14ac:dyDescent="0.25">
      <c r="A16" s="1" t="s">
        <v>840</v>
      </c>
      <c r="B16" s="1" t="s">
        <v>332</v>
      </c>
      <c r="C16" s="1" t="s">
        <v>683</v>
      </c>
      <c r="D16" s="1" t="s">
        <v>846</v>
      </c>
      <c r="E16" s="101">
        <v>46169</v>
      </c>
      <c r="F16" s="101">
        <v>46183</v>
      </c>
      <c r="G16" s="1" t="s">
        <v>837</v>
      </c>
      <c r="H16" s="1" t="s">
        <v>455</v>
      </c>
    </row>
    <row r="17" ht="14.25" customHeight="1" spans="1:8" x14ac:dyDescent="0.25">
      <c r="A17" s="1" t="s">
        <v>840</v>
      </c>
      <c r="B17" s="1" t="s">
        <v>847</v>
      </c>
      <c r="C17" s="1" t="s">
        <v>630</v>
      </c>
      <c r="D17" s="1" t="s">
        <v>848</v>
      </c>
      <c r="E17" s="101">
        <v>46172</v>
      </c>
      <c r="F17" s="101">
        <v>46175</v>
      </c>
      <c r="G17" s="1" t="s">
        <v>849</v>
      </c>
      <c r="H17" s="1" t="s">
        <v>455</v>
      </c>
    </row>
    <row r="18" ht="14.25" customHeight="1" spans="1:8" x14ac:dyDescent="0.25">
      <c r="A18" s="1" t="s">
        <v>850</v>
      </c>
      <c r="B18" s="1" t="s">
        <v>678</v>
      </c>
      <c r="C18" s="1" t="s">
        <v>680</v>
      </c>
      <c r="D18" s="1" t="s">
        <v>851</v>
      </c>
      <c r="E18" s="2">
        <v>46160</v>
      </c>
      <c r="F18" s="2">
        <v>46164</v>
      </c>
      <c r="G18" s="1" t="s">
        <v>843</v>
      </c>
      <c r="H18" s="1" t="s">
        <v>455</v>
      </c>
    </row>
    <row r="19" ht="15.75" customHeight="1" spans="1:8" x14ac:dyDescent="0.25">
      <c r="A19" s="1" t="s">
        <v>850</v>
      </c>
      <c r="B19" s="1" t="s">
        <v>696</v>
      </c>
      <c r="C19" s="1" t="s">
        <v>462</v>
      </c>
      <c r="D19" s="1" t="s">
        <v>852</v>
      </c>
      <c r="E19" s="2">
        <v>46174</v>
      </c>
      <c r="F19" s="2">
        <v>46174</v>
      </c>
      <c r="G19" s="1">
        <v>0.5</v>
      </c>
      <c r="H19" s="1" t="s">
        <v>853</v>
      </c>
    </row>
    <row r="20" ht="14.25" customHeight="1" spans="1:8" x14ac:dyDescent="0.25">
      <c r="A20" s="1" t="s">
        <v>850</v>
      </c>
      <c r="B20" s="1" t="s">
        <v>854</v>
      </c>
      <c r="C20" s="1" t="s">
        <v>462</v>
      </c>
      <c r="D20" s="1" t="s">
        <v>676</v>
      </c>
      <c r="E20" s="2">
        <v>46174</v>
      </c>
      <c r="F20" s="2">
        <v>46174</v>
      </c>
      <c r="G20" s="1" t="s">
        <v>827</v>
      </c>
      <c r="H20" s="1" t="s">
        <v>455</v>
      </c>
    </row>
    <row r="21" ht="14.25" customHeight="1" spans="1:8" x14ac:dyDescent="0.25">
      <c r="A21" s="1" t="s">
        <v>850</v>
      </c>
      <c r="B21" s="1" t="s">
        <v>152</v>
      </c>
      <c r="C21" s="1" t="s">
        <v>685</v>
      </c>
      <c r="D21" s="1" t="s">
        <v>676</v>
      </c>
      <c r="E21" s="2">
        <v>46174</v>
      </c>
      <c r="F21" s="2">
        <v>46188</v>
      </c>
      <c r="G21" s="1" t="s">
        <v>837</v>
      </c>
      <c r="H21" s="1" t="s">
        <v>455</v>
      </c>
    </row>
    <row r="22" ht="14.25" customHeight="1" spans="1:8" x14ac:dyDescent="0.25">
      <c r="A22" s="1" t="s">
        <v>850</v>
      </c>
      <c r="B22" s="1" t="s">
        <v>855</v>
      </c>
      <c r="C22" s="1" t="s">
        <v>694</v>
      </c>
      <c r="D22" s="1" t="s">
        <v>676</v>
      </c>
      <c r="E22" s="101">
        <v>46153</v>
      </c>
      <c r="F22" s="2">
        <v>46167</v>
      </c>
      <c r="G22" s="1" t="s">
        <v>837</v>
      </c>
      <c r="H22" s="1" t="s">
        <v>455</v>
      </c>
    </row>
    <row r="23" ht="14.25" customHeight="1" spans="1:8" x14ac:dyDescent="0.25">
      <c r="A23" s="1" t="s">
        <v>850</v>
      </c>
      <c r="B23" s="1" t="s">
        <v>124</v>
      </c>
      <c r="C23" s="1" t="s">
        <v>856</v>
      </c>
      <c r="D23" s="1" t="s">
        <v>676</v>
      </c>
      <c r="E23" s="2">
        <v>46174</v>
      </c>
      <c r="F23" s="2">
        <v>46188</v>
      </c>
      <c r="G23" s="1" t="s">
        <v>857</v>
      </c>
      <c r="H23" s="1" t="s">
        <v>455</v>
      </c>
    </row>
    <row r="24" ht="14.25" customHeight="1" spans="1:8" x14ac:dyDescent="0.25">
      <c r="A24" s="1" t="s">
        <v>850</v>
      </c>
      <c r="B24" s="1" t="s">
        <v>858</v>
      </c>
      <c r="C24" s="1" t="s">
        <v>502</v>
      </c>
      <c r="D24" s="1" t="s">
        <v>676</v>
      </c>
      <c r="E24" s="101">
        <v>46174</v>
      </c>
      <c r="F24" s="101">
        <v>46174</v>
      </c>
      <c r="G24" s="1" t="s">
        <v>827</v>
      </c>
      <c r="H24" s="1" t="s">
        <v>455</v>
      </c>
    </row>
    <row r="25" ht="14.25" customHeight="1" spans="1:8" x14ac:dyDescent="0.25">
      <c r="A25" s="1" t="s">
        <v>850</v>
      </c>
      <c r="B25" s="1" t="s">
        <v>365</v>
      </c>
      <c r="C25" s="1" t="s">
        <v>693</v>
      </c>
      <c r="D25" s="1" t="s">
        <v>676</v>
      </c>
      <c r="E25" s="101">
        <v>46153</v>
      </c>
      <c r="F25" s="2">
        <v>46167</v>
      </c>
      <c r="G25" s="1" t="s">
        <v>837</v>
      </c>
      <c r="H25" s="1" t="s">
        <v>455</v>
      </c>
    </row>
    <row r="26" ht="14.25" customHeight="1" spans="1:8" x14ac:dyDescent="0.25">
      <c r="A26" s="1" t="s">
        <v>850</v>
      </c>
      <c r="B26" s="1" t="s">
        <v>859</v>
      </c>
      <c r="C26" s="1" t="s">
        <v>683</v>
      </c>
      <c r="D26" s="1" t="s">
        <v>671</v>
      </c>
      <c r="E26" s="101">
        <v>46183</v>
      </c>
      <c r="F26" s="101">
        <v>46197</v>
      </c>
      <c r="G26" s="1" t="s">
        <v>837</v>
      </c>
      <c r="H26" s="1" t="s">
        <v>455</v>
      </c>
    </row>
    <row r="27" ht="14.25" customHeight="1" spans="1:11" x14ac:dyDescent="0.25">
      <c r="A27" s="1" t="s">
        <v>442</v>
      </c>
      <c r="B27" s="1" t="s">
        <v>443</v>
      </c>
      <c r="C27" s="1" t="s">
        <v>444</v>
      </c>
      <c r="D27" s="1" t="s">
        <v>860</v>
      </c>
      <c r="E27" s="1" t="s">
        <v>58</v>
      </c>
      <c r="F27" s="1" t="s">
        <v>446</v>
      </c>
      <c r="G27" s="1" t="s">
        <v>447</v>
      </c>
      <c r="H27" s="1" t="s">
        <v>448</v>
      </c>
      <c r="I27" s="1" t="s">
        <v>449</v>
      </c>
      <c r="J27" s="1" t="s">
        <v>450</v>
      </c>
      <c r="K27" s="1" t="s">
        <v>451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861</v>
      </c>
      <c r="AJ3" s="1" t="s">
        <v>862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82</v>
      </c>
      <c r="C7" s="1" t="s">
        <v>83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85</v>
      </c>
      <c r="C8" s="1" t="s">
        <v>86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90</v>
      </c>
      <c r="C9" s="1" t="s">
        <v>91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95</v>
      </c>
      <c r="C10" s="1" t="s">
        <v>96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98</v>
      </c>
      <c r="C11" s="1" t="s">
        <v>99</v>
      </c>
      <c r="D11" s="1" t="s">
        <v>100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102</v>
      </c>
      <c r="C12" s="1" t="s">
        <v>103</v>
      </c>
      <c r="D12" s="1" t="s">
        <v>100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106</v>
      </c>
      <c r="C13" s="1" t="s">
        <v>107</v>
      </c>
      <c r="D13" s="1" t="s">
        <v>100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109</v>
      </c>
      <c r="C14" s="1" t="s">
        <v>110</v>
      </c>
      <c r="D14" s="1" t="s">
        <v>100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431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432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238</v>
      </c>
      <c r="C54" s="1" t="s">
        <v>239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243</v>
      </c>
      <c r="C55" s="1" t="s">
        <v>244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246</v>
      </c>
      <c r="C56" s="1" t="s">
        <v>247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249</v>
      </c>
      <c r="C57" s="1" t="s">
        <v>250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252</v>
      </c>
      <c r="C58" s="1" t="s">
        <v>253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255</v>
      </c>
      <c r="C59" s="1" t="s">
        <v>256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258</v>
      </c>
      <c r="C60" s="1" t="s">
        <v>259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263</v>
      </c>
      <c r="C61" s="1" t="s">
        <v>264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266</v>
      </c>
      <c r="C62" s="1" t="s">
        <v>267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269</v>
      </c>
      <c r="C63" s="1" t="s">
        <v>270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272</v>
      </c>
      <c r="C64" s="1" t="s">
        <v>273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275</v>
      </c>
      <c r="C65" s="1" t="s">
        <v>276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279</v>
      </c>
      <c r="C66" s="1" t="s">
        <v>280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282</v>
      </c>
      <c r="C67" s="1" t="s">
        <v>283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285</v>
      </c>
      <c r="C68" s="1" t="s">
        <v>286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288</v>
      </c>
      <c r="C69" s="1" t="s">
        <v>289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292</v>
      </c>
      <c r="C70" s="1" t="s">
        <v>293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295</v>
      </c>
      <c r="C71" s="1" t="s">
        <v>296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298</v>
      </c>
      <c r="C72" s="1" t="s">
        <v>299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301</v>
      </c>
      <c r="C73" s="1" t="s">
        <v>302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304</v>
      </c>
      <c r="C74" s="1" t="s">
        <v>305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307</v>
      </c>
      <c r="C75" s="1" t="s">
        <v>308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310</v>
      </c>
      <c r="C76" s="1" t="s">
        <v>311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313</v>
      </c>
      <c r="C77" s="1" t="s">
        <v>314</v>
      </c>
      <c r="D77" s="1" t="s">
        <v>100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315</v>
      </c>
      <c r="C78" s="1" t="s">
        <v>316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317</v>
      </c>
      <c r="C79" s="1" t="s">
        <v>318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319</v>
      </c>
      <c r="C80" s="1" t="s">
        <v>320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321</v>
      </c>
      <c r="C81" s="1" t="s">
        <v>322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323</v>
      </c>
      <c r="C82" s="1" t="s">
        <v>324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325</v>
      </c>
      <c r="C83" s="1" t="s">
        <v>326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328</v>
      </c>
      <c r="C84" s="1" t="s">
        <v>329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331</v>
      </c>
      <c r="C85" s="1" t="s">
        <v>332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333</v>
      </c>
      <c r="C86" s="1" t="s">
        <v>334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335</v>
      </c>
      <c r="C87" s="1" t="s">
        <v>336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337</v>
      </c>
      <c r="C88" s="1" t="s">
        <v>338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339</v>
      </c>
      <c r="C89" s="1" t="s">
        <v>340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341</v>
      </c>
      <c r="C90" s="1" t="s">
        <v>342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343</v>
      </c>
      <c r="C91" s="1" t="s">
        <v>344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345</v>
      </c>
      <c r="C92" s="1" t="s">
        <v>346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347</v>
      </c>
      <c r="C93" s="1" t="s">
        <v>348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349</v>
      </c>
      <c r="C94" s="1" t="s">
        <v>350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351</v>
      </c>
      <c r="C95" s="1" t="s">
        <v>352</v>
      </c>
      <c r="D95" s="1" t="s">
        <v>100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353</v>
      </c>
      <c r="C96" s="1" t="s">
        <v>354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356</v>
      </c>
      <c r="C97" s="1" t="s">
        <v>357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358</v>
      </c>
      <c r="C98" s="1" t="s">
        <v>359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360</v>
      </c>
      <c r="C99" s="1" t="s">
        <v>361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362</v>
      </c>
      <c r="C100" s="1" t="s">
        <v>363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364</v>
      </c>
      <c r="C101" s="1" t="s">
        <v>365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366</v>
      </c>
      <c r="C102" s="1" t="s">
        <v>367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368</v>
      </c>
      <c r="C103" s="1" t="s">
        <v>369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370</v>
      </c>
      <c r="C104" s="1" t="s">
        <v>371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372</v>
      </c>
      <c r="C105" s="1" t="s">
        <v>373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313</v>
      </c>
      <c r="C106" s="1" t="s">
        <v>314</v>
      </c>
      <c r="D106" s="1" t="s">
        <v>100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317</v>
      </c>
      <c r="C107" s="1" t="s">
        <v>318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319</v>
      </c>
      <c r="C108" s="1" t="s">
        <v>320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321</v>
      </c>
      <c r="C109" s="1" t="s">
        <v>322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323</v>
      </c>
      <c r="C110" s="1" t="s">
        <v>324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325</v>
      </c>
      <c r="C111" s="1" t="s">
        <v>326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328</v>
      </c>
      <c r="C112" s="1" t="s">
        <v>329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331</v>
      </c>
      <c r="C113" s="1" t="s">
        <v>332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333</v>
      </c>
      <c r="C114" s="1" t="s">
        <v>334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335</v>
      </c>
      <c r="C115" s="1" t="s">
        <v>336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337</v>
      </c>
      <c r="C116" s="1" t="s">
        <v>338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339</v>
      </c>
      <c r="C117" s="1" t="s">
        <v>340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341</v>
      </c>
      <c r="C118" s="1" t="s">
        <v>342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343</v>
      </c>
      <c r="C119" s="1" t="s">
        <v>344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345</v>
      </c>
      <c r="C120" s="1" t="s">
        <v>346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347</v>
      </c>
      <c r="C121" s="1" t="s">
        <v>348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349</v>
      </c>
      <c r="C122" s="1" t="s">
        <v>350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351</v>
      </c>
      <c r="C123" s="1" t="s">
        <v>352</v>
      </c>
      <c r="D123" s="1" t="s">
        <v>100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353</v>
      </c>
      <c r="C124" s="1" t="s">
        <v>354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356</v>
      </c>
      <c r="C125" s="1" t="s">
        <v>357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358</v>
      </c>
      <c r="C126" s="1" t="s">
        <v>359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360</v>
      </c>
      <c r="C127" s="1" t="s">
        <v>361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362</v>
      </c>
      <c r="C128" s="1" t="s">
        <v>363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364</v>
      </c>
      <c r="C129" s="1" t="s">
        <v>365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366</v>
      </c>
      <c r="C130" s="1" t="s">
        <v>367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368</v>
      </c>
      <c r="C131" s="1" t="s">
        <v>369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370</v>
      </c>
      <c r="C132" s="1" t="s">
        <v>371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372</v>
      </c>
      <c r="C133" s="1" t="s">
        <v>373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313</v>
      </c>
      <c r="C134" s="1" t="s">
        <v>314</v>
      </c>
      <c r="D134" s="1" t="s">
        <v>100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374</v>
      </c>
      <c r="C135" s="1" t="s">
        <v>375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317</v>
      </c>
      <c r="C136" s="1" t="s">
        <v>318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319</v>
      </c>
      <c r="C137" s="1" t="s">
        <v>320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323</v>
      </c>
      <c r="C138" s="1" t="s">
        <v>324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325</v>
      </c>
      <c r="C139" s="1" t="s">
        <v>326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328</v>
      </c>
      <c r="C140" s="1" t="s">
        <v>329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331</v>
      </c>
      <c r="C141" s="1" t="s">
        <v>332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362</v>
      </c>
      <c r="C142" s="1" t="s">
        <v>363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333</v>
      </c>
      <c r="C143" s="1" t="s">
        <v>334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335</v>
      </c>
      <c r="C144" s="1" t="s">
        <v>336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337</v>
      </c>
      <c r="C145" s="1" t="s">
        <v>338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339</v>
      </c>
      <c r="C146" s="1" t="s">
        <v>340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341</v>
      </c>
      <c r="C147" s="1" t="s">
        <v>342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343</v>
      </c>
      <c r="C148" s="1" t="s">
        <v>344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345</v>
      </c>
      <c r="C149" s="1" t="s">
        <v>346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347</v>
      </c>
      <c r="C150" s="1" t="s">
        <v>348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349</v>
      </c>
      <c r="C151" s="1" t="s">
        <v>350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351</v>
      </c>
      <c r="C152" s="1" t="s">
        <v>352</v>
      </c>
      <c r="D152" s="1" t="s">
        <v>100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353</v>
      </c>
      <c r="C153" s="1" t="s">
        <v>354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356</v>
      </c>
      <c r="C154" s="1" t="s">
        <v>357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358</v>
      </c>
      <c r="C155" s="1" t="s">
        <v>359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360</v>
      </c>
      <c r="C156" s="1" t="s">
        <v>361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364</v>
      </c>
      <c r="C157" s="1" t="s">
        <v>365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366</v>
      </c>
      <c r="C158" s="1" t="s">
        <v>367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368</v>
      </c>
      <c r="C159" s="1" t="s">
        <v>369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370</v>
      </c>
      <c r="C160" s="1" t="s">
        <v>371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863</v>
      </c>
      <c r="C1" s="117" t="s">
        <v>864</v>
      </c>
      <c r="D1" s="117" t="s">
        <v>865</v>
      </c>
      <c r="E1" s="117" t="s">
        <v>866</v>
      </c>
      <c r="F1" s="117" t="s">
        <v>867</v>
      </c>
      <c r="G1" s="117" t="s">
        <v>868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695</v>
      </c>
      <c r="C2" s="121" t="s">
        <v>869</v>
      </c>
      <c r="D2" s="121" t="s">
        <v>870</v>
      </c>
      <c r="E2" s="122" t="s">
        <v>871</v>
      </c>
      <c r="F2" s="122" t="s">
        <v>872</v>
      </c>
      <c r="G2" s="121" t="s">
        <v>462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873</v>
      </c>
      <c r="C3" s="121" t="s">
        <v>869</v>
      </c>
      <c r="D3" s="121" t="s">
        <v>870</v>
      </c>
      <c r="E3" s="122" t="s">
        <v>874</v>
      </c>
      <c r="F3" s="122" t="s">
        <v>875</v>
      </c>
      <c r="G3" s="121" t="s">
        <v>541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473</v>
      </c>
      <c r="C4" s="121" t="s">
        <v>869</v>
      </c>
      <c r="D4" s="121" t="s">
        <v>870</v>
      </c>
      <c r="E4" s="122" t="s">
        <v>876</v>
      </c>
      <c r="F4" s="122" t="s">
        <v>877</v>
      </c>
      <c r="G4" s="121" t="s">
        <v>541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869</v>
      </c>
      <c r="D5" s="121" t="s">
        <v>878</v>
      </c>
      <c r="E5" s="122" t="s">
        <v>879</v>
      </c>
      <c r="F5" s="122" t="s">
        <v>880</v>
      </c>
      <c r="G5" s="121" t="s">
        <v>881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882</v>
      </c>
      <c r="C6" s="121" t="s">
        <v>869</v>
      </c>
      <c r="D6" s="121" t="s">
        <v>870</v>
      </c>
      <c r="E6" s="122" t="s">
        <v>883</v>
      </c>
      <c r="F6" s="122" t="s">
        <v>884</v>
      </c>
      <c r="G6" s="121" t="s">
        <v>589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759</v>
      </c>
      <c r="C7" s="121" t="s">
        <v>869</v>
      </c>
      <c r="D7" s="123" t="s">
        <v>885</v>
      </c>
      <c r="E7" s="122" t="s">
        <v>886</v>
      </c>
      <c r="F7" s="122" t="s">
        <v>887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428</v>
      </c>
      <c r="C8" s="121" t="s">
        <v>869</v>
      </c>
      <c r="D8" s="121" t="s">
        <v>870</v>
      </c>
      <c r="E8" s="122" t="s">
        <v>888</v>
      </c>
      <c r="F8" s="122" t="s">
        <v>889</v>
      </c>
      <c r="G8" s="121" t="s">
        <v>890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869</v>
      </c>
      <c r="D9" s="121" t="s">
        <v>870</v>
      </c>
      <c r="E9" s="122" t="s">
        <v>891</v>
      </c>
      <c r="F9" s="122" t="s">
        <v>892</v>
      </c>
      <c r="G9" s="121" t="s">
        <v>589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389</v>
      </c>
      <c r="C10" s="121" t="s">
        <v>869</v>
      </c>
      <c r="D10" s="121" t="s">
        <v>870</v>
      </c>
      <c r="E10" s="122" t="s">
        <v>893</v>
      </c>
      <c r="F10" s="122" t="s">
        <v>894</v>
      </c>
      <c r="G10" s="121" t="s">
        <v>895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896</v>
      </c>
      <c r="C11" s="121" t="s">
        <v>869</v>
      </c>
      <c r="D11" s="121" t="s">
        <v>870</v>
      </c>
      <c r="E11" s="122" t="s">
        <v>897</v>
      </c>
      <c r="F11" s="122" t="s">
        <v>898</v>
      </c>
      <c r="G11" s="121" t="s">
        <v>899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900</v>
      </c>
      <c r="C12" s="121" t="s">
        <v>869</v>
      </c>
      <c r="D12" s="121" t="s">
        <v>870</v>
      </c>
      <c r="E12" s="122" t="s">
        <v>901</v>
      </c>
      <c r="F12" s="122" t="s">
        <v>902</v>
      </c>
      <c r="G12" s="121" t="s">
        <v>594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903</v>
      </c>
      <c r="C13" s="121" t="s">
        <v>869</v>
      </c>
      <c r="D13" s="121" t="s">
        <v>870</v>
      </c>
      <c r="E13" s="122" t="s">
        <v>904</v>
      </c>
      <c r="F13" s="122" t="s">
        <v>905</v>
      </c>
      <c r="G13" s="121" t="s">
        <v>499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475</v>
      </c>
      <c r="C14" s="121" t="s">
        <v>869</v>
      </c>
      <c r="D14" s="121" t="s">
        <v>870</v>
      </c>
      <c r="E14" s="122" t="s">
        <v>906</v>
      </c>
      <c r="F14" s="122" t="s">
        <v>907</v>
      </c>
      <c r="G14" s="121" t="s">
        <v>462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908</v>
      </c>
      <c r="C15" s="121" t="s">
        <v>869</v>
      </c>
      <c r="D15" s="123" t="s">
        <v>885</v>
      </c>
      <c r="E15" s="122" t="s">
        <v>909</v>
      </c>
      <c r="F15" s="122" t="s">
        <v>910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911</v>
      </c>
      <c r="C16" s="121" t="s">
        <v>869</v>
      </c>
      <c r="D16" s="121" t="s">
        <v>870</v>
      </c>
      <c r="E16" s="122" t="s">
        <v>912</v>
      </c>
      <c r="F16" s="122" t="s">
        <v>913</v>
      </c>
      <c r="G16" s="121" t="s">
        <v>914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869</v>
      </c>
      <c r="D17" s="121" t="s">
        <v>878</v>
      </c>
      <c r="E17" s="122" t="s">
        <v>915</v>
      </c>
      <c r="F17" s="122" t="s">
        <v>916</v>
      </c>
      <c r="G17" s="121" t="s">
        <v>917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918</v>
      </c>
      <c r="C18" s="121" t="s">
        <v>869</v>
      </c>
      <c r="D18" s="121" t="s">
        <v>870</v>
      </c>
      <c r="E18" s="122" t="s">
        <v>919</v>
      </c>
      <c r="F18" s="122" t="s">
        <v>920</v>
      </c>
      <c r="G18" s="121" t="s">
        <v>921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922</v>
      </c>
      <c r="C19" s="121" t="s">
        <v>869</v>
      </c>
      <c r="D19" s="121" t="s">
        <v>870</v>
      </c>
      <c r="E19" s="122" t="s">
        <v>923</v>
      </c>
      <c r="F19" s="122" t="s">
        <v>924</v>
      </c>
      <c r="G19" s="121" t="s">
        <v>899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925</v>
      </c>
      <c r="C20" s="121" t="s">
        <v>869</v>
      </c>
      <c r="D20" s="121" t="s">
        <v>870</v>
      </c>
      <c r="E20" s="122" t="s">
        <v>926</v>
      </c>
      <c r="F20" s="122" t="s">
        <v>927</v>
      </c>
      <c r="G20" s="121" t="s">
        <v>928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929</v>
      </c>
      <c r="C21" s="121" t="s">
        <v>869</v>
      </c>
      <c r="D21" s="121" t="s">
        <v>870</v>
      </c>
      <c r="E21" s="122" t="s">
        <v>930</v>
      </c>
      <c r="F21" s="122" t="s">
        <v>931</v>
      </c>
      <c r="G21" s="121" t="s">
        <v>841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932</v>
      </c>
      <c r="C22" s="121" t="s">
        <v>869</v>
      </c>
      <c r="D22" s="121" t="s">
        <v>870</v>
      </c>
      <c r="E22" s="122" t="s">
        <v>933</v>
      </c>
      <c r="F22" s="122" t="s">
        <v>934</v>
      </c>
      <c r="G22" s="121" t="s">
        <v>841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716</v>
      </c>
      <c r="C23" s="121" t="s">
        <v>869</v>
      </c>
      <c r="D23" s="121" t="s">
        <v>870</v>
      </c>
      <c r="E23" s="122" t="s">
        <v>935</v>
      </c>
      <c r="F23" s="122" t="s">
        <v>936</v>
      </c>
      <c r="G23" s="121" t="s">
        <v>499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937</v>
      </c>
      <c r="C24" s="121" t="s">
        <v>869</v>
      </c>
      <c r="D24" s="121" t="s">
        <v>870</v>
      </c>
      <c r="E24" s="122" t="s">
        <v>938</v>
      </c>
      <c r="F24" s="122" t="s">
        <v>939</v>
      </c>
      <c r="G24" s="121" t="s">
        <v>462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940</v>
      </c>
      <c r="C25" s="121" t="s">
        <v>869</v>
      </c>
      <c r="D25" s="121" t="s">
        <v>870</v>
      </c>
      <c r="E25" s="122" t="s">
        <v>941</v>
      </c>
      <c r="F25" s="122" t="s">
        <v>942</v>
      </c>
      <c r="G25" s="121" t="s">
        <v>841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943</v>
      </c>
      <c r="C26" s="121" t="s">
        <v>869</v>
      </c>
      <c r="D26" s="121" t="s">
        <v>870</v>
      </c>
      <c r="E26" s="122" t="s">
        <v>944</v>
      </c>
      <c r="F26" s="122" t="s">
        <v>945</v>
      </c>
      <c r="G26" s="121" t="s">
        <v>841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568</v>
      </c>
      <c r="C27" s="121" t="s">
        <v>869</v>
      </c>
      <c r="D27" s="121" t="s">
        <v>870</v>
      </c>
      <c r="E27" s="122" t="s">
        <v>946</v>
      </c>
      <c r="F27" s="122" t="s">
        <v>947</v>
      </c>
      <c r="G27" s="121" t="s">
        <v>841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330</v>
      </c>
      <c r="C28" s="121" t="s">
        <v>869</v>
      </c>
      <c r="D28" s="121" t="s">
        <v>870</v>
      </c>
      <c r="E28" s="122" t="s">
        <v>948</v>
      </c>
      <c r="F28" s="122" t="s">
        <v>949</v>
      </c>
      <c r="G28" s="121" t="s">
        <v>841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458</v>
      </c>
      <c r="C29" s="121" t="s">
        <v>869</v>
      </c>
      <c r="D29" s="121" t="s">
        <v>870</v>
      </c>
      <c r="E29" s="122" t="s">
        <v>950</v>
      </c>
      <c r="F29" s="122" t="s">
        <v>951</v>
      </c>
      <c r="G29" s="121" t="s">
        <v>952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953</v>
      </c>
      <c r="C30" s="121" t="s">
        <v>869</v>
      </c>
      <c r="D30" s="121" t="s">
        <v>870</v>
      </c>
      <c r="E30" s="122" t="s">
        <v>954</v>
      </c>
      <c r="F30" s="122" t="s">
        <v>955</v>
      </c>
      <c r="G30" s="121" t="s">
        <v>956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957</v>
      </c>
      <c r="C31" s="121" t="s">
        <v>869</v>
      </c>
      <c r="D31" s="123" t="s">
        <v>885</v>
      </c>
      <c r="E31" s="122" t="s">
        <v>958</v>
      </c>
      <c r="F31" s="122" t="s">
        <v>959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752</v>
      </c>
      <c r="C32" s="121" t="s">
        <v>869</v>
      </c>
      <c r="D32" s="123" t="s">
        <v>885</v>
      </c>
      <c r="E32" s="122" t="s">
        <v>960</v>
      </c>
      <c r="F32" s="122" t="s">
        <v>961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729</v>
      </c>
      <c r="C33" s="121" t="s">
        <v>869</v>
      </c>
      <c r="D33" s="121" t="s">
        <v>870</v>
      </c>
      <c r="E33" s="122" t="s">
        <v>962</v>
      </c>
      <c r="F33" s="122" t="s">
        <v>963</v>
      </c>
      <c r="G33" s="121" t="s">
        <v>502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741</v>
      </c>
      <c r="C34" s="124" t="s">
        <v>869</v>
      </c>
      <c r="D34" s="121" t="s">
        <v>870</v>
      </c>
      <c r="E34" s="122" t="s">
        <v>964</v>
      </c>
      <c r="F34" s="122" t="s">
        <v>965</v>
      </c>
      <c r="G34" s="121" t="s">
        <v>502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528</v>
      </c>
      <c r="C35" s="121" t="s">
        <v>869</v>
      </c>
      <c r="D35" s="121" t="s">
        <v>870</v>
      </c>
      <c r="E35" s="122" t="s">
        <v>966</v>
      </c>
      <c r="F35" s="122" t="s">
        <v>967</v>
      </c>
      <c r="G35" s="121" t="s">
        <v>502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968</v>
      </c>
      <c r="C36" s="121" t="s">
        <v>869</v>
      </c>
      <c r="D36" s="121" t="s">
        <v>870</v>
      </c>
      <c r="E36" s="122" t="s">
        <v>969</v>
      </c>
      <c r="F36" s="122" t="s">
        <v>970</v>
      </c>
      <c r="G36" s="121" t="s">
        <v>502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688</v>
      </c>
      <c r="C37" s="121" t="s">
        <v>869</v>
      </c>
      <c r="D37" s="121" t="s">
        <v>870</v>
      </c>
      <c r="E37" s="122" t="s">
        <v>971</v>
      </c>
      <c r="F37" s="122" t="s">
        <v>972</v>
      </c>
      <c r="G37" s="121" t="s">
        <v>502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478</v>
      </c>
      <c r="C38" s="121" t="s">
        <v>869</v>
      </c>
      <c r="D38" s="121" t="s">
        <v>870</v>
      </c>
      <c r="E38" s="122" t="s">
        <v>973</v>
      </c>
      <c r="F38" s="122" t="s">
        <v>974</v>
      </c>
      <c r="G38" s="121" t="s">
        <v>502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790</v>
      </c>
      <c r="C39" s="121" t="s">
        <v>869</v>
      </c>
      <c r="D39" s="121" t="s">
        <v>870</v>
      </c>
      <c r="E39" s="122" t="s">
        <v>975</v>
      </c>
      <c r="F39" s="122" t="s">
        <v>976</v>
      </c>
      <c r="G39" s="121" t="s">
        <v>502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737</v>
      </c>
      <c r="C40" s="121" t="s">
        <v>869</v>
      </c>
      <c r="D40" s="121" t="s">
        <v>870</v>
      </c>
      <c r="E40" s="122" t="s">
        <v>977</v>
      </c>
      <c r="F40" s="122" t="s">
        <v>978</v>
      </c>
      <c r="G40" s="121" t="s">
        <v>502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747</v>
      </c>
      <c r="C41" s="121" t="s">
        <v>869</v>
      </c>
      <c r="D41" s="121" t="s">
        <v>870</v>
      </c>
      <c r="E41" s="122" t="s">
        <v>979</v>
      </c>
      <c r="F41" s="122" t="s">
        <v>980</v>
      </c>
      <c r="G41" s="121" t="s">
        <v>502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981</v>
      </c>
      <c r="C42" s="121" t="s">
        <v>869</v>
      </c>
      <c r="D42" s="121" t="s">
        <v>870</v>
      </c>
      <c r="E42" s="122" t="s">
        <v>982</v>
      </c>
      <c r="F42" s="122" t="s">
        <v>983</v>
      </c>
      <c r="G42" s="121" t="s">
        <v>811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398</v>
      </c>
      <c r="C43" s="121" t="s">
        <v>869</v>
      </c>
      <c r="D43" s="121" t="s">
        <v>870</v>
      </c>
      <c r="E43" s="122" t="s">
        <v>984</v>
      </c>
      <c r="F43" s="122" t="s">
        <v>985</v>
      </c>
      <c r="G43" s="121" t="s">
        <v>533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986</v>
      </c>
      <c r="C44" s="121" t="s">
        <v>869</v>
      </c>
      <c r="D44" s="121" t="s">
        <v>870</v>
      </c>
      <c r="E44" s="122" t="s">
        <v>987</v>
      </c>
      <c r="F44" s="122" t="s">
        <v>988</v>
      </c>
      <c r="G44" s="121" t="s">
        <v>100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989</v>
      </c>
      <c r="C45" s="121" t="s">
        <v>869</v>
      </c>
      <c r="D45" s="121" t="s">
        <v>870</v>
      </c>
      <c r="E45" s="122" t="s">
        <v>990</v>
      </c>
      <c r="F45" s="122" t="s">
        <v>942</v>
      </c>
      <c r="G45" s="121" t="s">
        <v>462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991</v>
      </c>
      <c r="C46" s="121" t="s">
        <v>869</v>
      </c>
      <c r="D46" s="121" t="s">
        <v>870</v>
      </c>
      <c r="E46" s="122" t="s">
        <v>992</v>
      </c>
      <c r="F46" s="122" t="s">
        <v>993</v>
      </c>
      <c r="G46" s="121" t="s">
        <v>462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994</v>
      </c>
      <c r="C47" s="121" t="s">
        <v>869</v>
      </c>
      <c r="D47" s="121" t="s">
        <v>870</v>
      </c>
      <c r="E47" s="122" t="s">
        <v>995</v>
      </c>
      <c r="F47" s="122" t="s">
        <v>996</v>
      </c>
      <c r="G47" s="121" t="s">
        <v>462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81</v>
      </c>
      <c r="C48" s="121" t="s">
        <v>869</v>
      </c>
      <c r="D48" s="121" t="s">
        <v>870</v>
      </c>
      <c r="E48" s="122" t="s">
        <v>997</v>
      </c>
      <c r="F48" s="122" t="s">
        <v>998</v>
      </c>
      <c r="G48" s="121" t="s">
        <v>999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869</v>
      </c>
      <c r="D49" s="121" t="s">
        <v>870</v>
      </c>
      <c r="E49" s="122" t="s">
        <v>1000</v>
      </c>
      <c r="F49" s="122" t="s">
        <v>1001</v>
      </c>
      <c r="G49" s="121" t="s">
        <v>1002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327</v>
      </c>
      <c r="C50" s="121" t="s">
        <v>869</v>
      </c>
      <c r="D50" s="121" t="s">
        <v>870</v>
      </c>
      <c r="E50" s="122" t="s">
        <v>1003</v>
      </c>
      <c r="F50" s="122" t="s">
        <v>1004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355</v>
      </c>
      <c r="C51" s="126" t="s">
        <v>869</v>
      </c>
      <c r="D51" s="126" t="s">
        <v>870</v>
      </c>
      <c r="E51" s="127" t="s">
        <v>1005</v>
      </c>
      <c r="F51" s="127" t="s">
        <v>1006</v>
      </c>
      <c r="G51" s="126" t="s">
        <v>594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869</v>
      </c>
      <c r="D52" s="121" t="s">
        <v>870</v>
      </c>
      <c r="E52" s="122" t="s">
        <v>1007</v>
      </c>
      <c r="F52" s="122" t="s">
        <v>1008</v>
      </c>
      <c r="G52" s="121" t="s">
        <v>594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869</v>
      </c>
      <c r="D53" s="121" t="s">
        <v>870</v>
      </c>
      <c r="E53" s="122" t="s">
        <v>1009</v>
      </c>
      <c r="F53" s="122" t="s">
        <v>1010</v>
      </c>
      <c r="G53" s="121" t="s">
        <v>594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869</v>
      </c>
      <c r="D54" s="121" t="s">
        <v>870</v>
      </c>
      <c r="E54" s="122" t="s">
        <v>1011</v>
      </c>
      <c r="F54" s="122" t="s">
        <v>1012</v>
      </c>
      <c r="G54" s="121" t="s">
        <v>594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419</v>
      </c>
      <c r="C55" s="121" t="s">
        <v>869</v>
      </c>
      <c r="D55" s="121" t="s">
        <v>870</v>
      </c>
      <c r="E55" s="122" t="s">
        <v>1013</v>
      </c>
      <c r="F55" s="122" t="s">
        <v>1014</v>
      </c>
      <c r="G55" s="121" t="s">
        <v>1015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1016</v>
      </c>
      <c r="C56" s="121" t="s">
        <v>869</v>
      </c>
      <c r="D56" s="121" t="s">
        <v>870</v>
      </c>
      <c r="E56" s="122" t="s">
        <v>1017</v>
      </c>
      <c r="F56" s="122" t="s">
        <v>1018</v>
      </c>
      <c r="G56" s="121" t="s">
        <v>100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869</v>
      </c>
      <c r="D57" s="121" t="s">
        <v>870</v>
      </c>
      <c r="E57" s="122" t="s">
        <v>1019</v>
      </c>
      <c r="F57" s="122" t="s">
        <v>1020</v>
      </c>
      <c r="G57" s="121" t="s">
        <v>462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1021</v>
      </c>
      <c r="C58" s="121" t="s">
        <v>869</v>
      </c>
      <c r="D58" s="121" t="s">
        <v>870</v>
      </c>
      <c r="E58" s="122" t="s">
        <v>1022</v>
      </c>
      <c r="F58" s="122" t="s">
        <v>1023</v>
      </c>
      <c r="G58" s="121" t="s">
        <v>462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517</v>
      </c>
      <c r="C59" s="121" t="s">
        <v>869</v>
      </c>
      <c r="D59" s="121" t="s">
        <v>870</v>
      </c>
      <c r="E59" s="122" t="s">
        <v>1024</v>
      </c>
      <c r="F59" s="122" t="s">
        <v>1025</v>
      </c>
      <c r="G59" s="121" t="s">
        <v>462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1026</v>
      </c>
      <c r="C60" s="121" t="s">
        <v>869</v>
      </c>
      <c r="D60" s="121" t="s">
        <v>870</v>
      </c>
      <c r="E60" s="122" t="s">
        <v>1027</v>
      </c>
      <c r="F60" s="122" t="s">
        <v>1028</v>
      </c>
      <c r="G60" s="121" t="s">
        <v>462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869</v>
      </c>
      <c r="D61" s="121" t="s">
        <v>870</v>
      </c>
      <c r="E61" s="122" t="s">
        <v>1029</v>
      </c>
      <c r="F61" s="122" t="s">
        <v>1030</v>
      </c>
      <c r="G61" s="121" t="s">
        <v>462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869</v>
      </c>
      <c r="D62" s="121" t="s">
        <v>870</v>
      </c>
      <c r="E62" s="122" t="s">
        <v>876</v>
      </c>
      <c r="F62" s="122" t="s">
        <v>1031</v>
      </c>
      <c r="G62" s="121" t="s">
        <v>462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869</v>
      </c>
      <c r="D63" s="121" t="s">
        <v>870</v>
      </c>
      <c r="E63" s="122" t="s">
        <v>1032</v>
      </c>
      <c r="F63" s="122" t="s">
        <v>1033</v>
      </c>
      <c r="G63" s="121" t="s">
        <v>462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413</v>
      </c>
      <c r="C64" s="121" t="s">
        <v>869</v>
      </c>
      <c r="D64" s="121" t="s">
        <v>870</v>
      </c>
      <c r="E64" s="122" t="s">
        <v>415</v>
      </c>
      <c r="F64" s="122"/>
      <c r="G64" s="121" t="s">
        <v>619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416</v>
      </c>
      <c r="C65" s="121" t="s">
        <v>869</v>
      </c>
      <c r="D65" s="121" t="s">
        <v>870</v>
      </c>
      <c r="E65" s="122" t="s">
        <v>1034</v>
      </c>
      <c r="F65" s="122" t="s">
        <v>1035</v>
      </c>
      <c r="G65" s="121" t="s">
        <v>612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404</v>
      </c>
      <c r="C66" s="121" t="s">
        <v>869</v>
      </c>
      <c r="D66" s="121" t="s">
        <v>870</v>
      </c>
      <c r="E66" s="122" t="s">
        <v>1036</v>
      </c>
      <c r="F66" s="122" t="s">
        <v>1037</v>
      </c>
      <c r="G66" s="121" t="s">
        <v>612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869</v>
      </c>
      <c r="D67" s="121" t="s">
        <v>870</v>
      </c>
      <c r="E67" s="122" t="s">
        <v>1038</v>
      </c>
      <c r="F67" s="122" t="s">
        <v>1039</v>
      </c>
      <c r="G67" s="121" t="s">
        <v>462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869</v>
      </c>
      <c r="D68" s="121" t="s">
        <v>870</v>
      </c>
      <c r="E68" s="122" t="s">
        <v>1040</v>
      </c>
      <c r="F68" s="122" t="s">
        <v>1041</v>
      </c>
      <c r="G68" s="121" t="s">
        <v>462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425</v>
      </c>
      <c r="C69" s="121" t="s">
        <v>869</v>
      </c>
      <c r="D69" s="121" t="s">
        <v>870</v>
      </c>
      <c r="E69" s="122" t="s">
        <v>1042</v>
      </c>
      <c r="F69" s="122" t="s">
        <v>1043</v>
      </c>
      <c r="G69" s="121" t="s">
        <v>585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84</v>
      </c>
      <c r="C70" s="121" t="s">
        <v>869</v>
      </c>
      <c r="D70" s="121" t="s">
        <v>870</v>
      </c>
      <c r="E70" s="122" t="s">
        <v>1044</v>
      </c>
      <c r="F70" s="122" t="s">
        <v>1045</v>
      </c>
      <c r="G70" s="121" t="s">
        <v>999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869</v>
      </c>
      <c r="D71" s="121" t="s">
        <v>870</v>
      </c>
      <c r="E71" s="122" t="s">
        <v>1046</v>
      </c>
      <c r="F71" s="122" t="s">
        <v>1047</v>
      </c>
      <c r="G71" s="121" t="s">
        <v>462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667</v>
      </c>
      <c r="C72" s="121" t="s">
        <v>869</v>
      </c>
      <c r="D72" s="121" t="s">
        <v>870</v>
      </c>
      <c r="E72" s="122" t="s">
        <v>1048</v>
      </c>
      <c r="F72" s="122" t="s">
        <v>1049</v>
      </c>
      <c r="G72" s="121" t="s">
        <v>462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869</v>
      </c>
      <c r="D73" s="121" t="s">
        <v>870</v>
      </c>
      <c r="E73" s="122" t="s">
        <v>1050</v>
      </c>
      <c r="F73" s="122" t="s">
        <v>1051</v>
      </c>
      <c r="G73" s="121" t="s">
        <v>462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869</v>
      </c>
      <c r="D74" s="121" t="s">
        <v>870</v>
      </c>
      <c r="E74" s="122" t="s">
        <v>1052</v>
      </c>
      <c r="F74" s="122" t="s">
        <v>1053</v>
      </c>
      <c r="G74" s="121" t="s">
        <v>462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465</v>
      </c>
      <c r="C75" s="121" t="s">
        <v>869</v>
      </c>
      <c r="D75" s="121" t="s">
        <v>870</v>
      </c>
      <c r="E75" s="122" t="s">
        <v>1054</v>
      </c>
      <c r="F75" s="122" t="s">
        <v>1055</v>
      </c>
      <c r="G75" s="121" t="s">
        <v>466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460</v>
      </c>
      <c r="C76" s="126" t="s">
        <v>869</v>
      </c>
      <c r="D76" s="130" t="s">
        <v>870</v>
      </c>
      <c r="E76" s="131" t="s">
        <v>1056</v>
      </c>
      <c r="F76" s="127" t="s">
        <v>1057</v>
      </c>
      <c r="G76" s="126" t="s">
        <v>1058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615</v>
      </c>
      <c r="C77" s="121" t="s">
        <v>869</v>
      </c>
      <c r="D77" s="121" t="s">
        <v>870</v>
      </c>
      <c r="E77" s="122" t="s">
        <v>1059</v>
      </c>
      <c r="F77" s="122" t="s">
        <v>1060</v>
      </c>
      <c r="G77" s="121" t="s">
        <v>1061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618</v>
      </c>
      <c r="C78" s="121" t="s">
        <v>869</v>
      </c>
      <c r="D78" s="121" t="s">
        <v>870</v>
      </c>
      <c r="E78" s="122" t="s">
        <v>1062</v>
      </c>
      <c r="F78" s="122" t="s">
        <v>1063</v>
      </c>
      <c r="G78" s="121" t="s">
        <v>619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97</v>
      </c>
      <c r="C79" s="121" t="s">
        <v>869</v>
      </c>
      <c r="D79" s="121" t="s">
        <v>870</v>
      </c>
      <c r="E79" s="122" t="s">
        <v>1064</v>
      </c>
      <c r="F79" s="122" t="s">
        <v>1065</v>
      </c>
      <c r="G79" s="121" t="s">
        <v>1066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532</v>
      </c>
      <c r="C80" s="121" t="s">
        <v>869</v>
      </c>
      <c r="D80" s="121" t="s">
        <v>870</v>
      </c>
      <c r="E80" s="122" t="s">
        <v>1067</v>
      </c>
      <c r="F80" s="122" t="s">
        <v>1068</v>
      </c>
      <c r="G80" s="121" t="s">
        <v>630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382</v>
      </c>
      <c r="C81" s="121" t="s">
        <v>869</v>
      </c>
      <c r="D81" s="121" t="s">
        <v>870</v>
      </c>
      <c r="E81" s="122" t="s">
        <v>1069</v>
      </c>
      <c r="F81" s="122" t="s">
        <v>1070</v>
      </c>
      <c r="G81" s="121" t="s">
        <v>630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401</v>
      </c>
      <c r="C82" s="121" t="s">
        <v>869</v>
      </c>
      <c r="D82" s="121" t="s">
        <v>870</v>
      </c>
      <c r="E82" s="122" t="s">
        <v>1071</v>
      </c>
      <c r="F82" s="122" t="s">
        <v>1072</v>
      </c>
      <c r="G82" s="121" t="s">
        <v>630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395</v>
      </c>
      <c r="C83" s="121" t="s">
        <v>869</v>
      </c>
      <c r="D83" s="121" t="s">
        <v>870</v>
      </c>
      <c r="E83" s="122" t="s">
        <v>1073</v>
      </c>
      <c r="F83" s="122" t="s">
        <v>1074</v>
      </c>
      <c r="G83" s="121" t="s">
        <v>630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629</v>
      </c>
      <c r="C84" s="123" t="s">
        <v>869</v>
      </c>
      <c r="D84" s="121" t="s">
        <v>870</v>
      </c>
      <c r="E84" s="122" t="s">
        <v>1075</v>
      </c>
      <c r="F84" s="122" t="s">
        <v>1076</v>
      </c>
      <c r="G84" s="121" t="s">
        <v>630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552</v>
      </c>
      <c r="C85" s="121" t="s">
        <v>869</v>
      </c>
      <c r="D85" s="121" t="s">
        <v>870</v>
      </c>
      <c r="E85" s="122" t="s">
        <v>1077</v>
      </c>
      <c r="F85" s="122" t="s">
        <v>1078</v>
      </c>
      <c r="G85" s="121" t="s">
        <v>1079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508</v>
      </c>
      <c r="C86" s="126" t="s">
        <v>869</v>
      </c>
      <c r="D86" s="126" t="s">
        <v>1080</v>
      </c>
      <c r="E86" s="127" t="s">
        <v>1081</v>
      </c>
      <c r="F86" s="127" t="s">
        <v>1082</v>
      </c>
      <c r="G86" s="126" t="s">
        <v>462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506</v>
      </c>
      <c r="C87" s="126" t="s">
        <v>869</v>
      </c>
      <c r="D87" s="126" t="s">
        <v>1080</v>
      </c>
      <c r="E87" s="127" t="s">
        <v>1083</v>
      </c>
      <c r="F87" s="127" t="s">
        <v>1084</v>
      </c>
      <c r="G87" s="126" t="s">
        <v>462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501</v>
      </c>
      <c r="C88" s="126" t="s">
        <v>869</v>
      </c>
      <c r="D88" s="126" t="s">
        <v>1080</v>
      </c>
      <c r="E88" s="127" t="s">
        <v>1085</v>
      </c>
      <c r="F88" s="127" t="s">
        <v>1086</v>
      </c>
      <c r="G88" s="126" t="s">
        <v>462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1087</v>
      </c>
      <c r="C89" s="121" t="s">
        <v>869</v>
      </c>
      <c r="D89" s="121" t="s">
        <v>878</v>
      </c>
      <c r="E89" s="122" t="s">
        <v>1088</v>
      </c>
      <c r="F89" s="122" t="s">
        <v>1089</v>
      </c>
      <c r="G89" s="121" t="s">
        <v>1090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1091</v>
      </c>
      <c r="C90" s="121" t="s">
        <v>869</v>
      </c>
      <c r="D90" s="121" t="s">
        <v>870</v>
      </c>
      <c r="E90" s="122" t="s">
        <v>1092</v>
      </c>
      <c r="F90" s="122" t="s">
        <v>1093</v>
      </c>
      <c r="G90" s="121" t="s">
        <v>1094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498</v>
      </c>
      <c r="C91" s="121" t="s">
        <v>869</v>
      </c>
      <c r="D91" s="121" t="s">
        <v>1095</v>
      </c>
      <c r="E91" s="122" t="s">
        <v>1096</v>
      </c>
      <c r="F91" s="122" t="s">
        <v>1097</v>
      </c>
      <c r="G91" s="121" t="s">
        <v>499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1098</v>
      </c>
      <c r="C92" s="121" t="s">
        <v>869</v>
      </c>
      <c r="D92" s="121" t="s">
        <v>1095</v>
      </c>
      <c r="E92" s="122" t="s">
        <v>1099</v>
      </c>
      <c r="F92" s="122" t="s">
        <v>1100</v>
      </c>
      <c r="G92" s="121" t="s">
        <v>630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386</v>
      </c>
      <c r="C93" s="121" t="s">
        <v>869</v>
      </c>
      <c r="D93" s="121" t="s">
        <v>1095</v>
      </c>
      <c r="E93" s="122" t="s">
        <v>1101</v>
      </c>
      <c r="F93" s="122" t="s">
        <v>1102</v>
      </c>
      <c r="G93" s="121" t="s">
        <v>630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392</v>
      </c>
      <c r="C94" s="121" t="s">
        <v>869</v>
      </c>
      <c r="D94" s="121" t="s">
        <v>1095</v>
      </c>
      <c r="E94" s="122" t="s">
        <v>1103</v>
      </c>
      <c r="F94" s="122" t="s">
        <v>1104</v>
      </c>
      <c r="G94" s="121" t="s">
        <v>630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422</v>
      </c>
      <c r="C95" s="121" t="s">
        <v>869</v>
      </c>
      <c r="D95" s="121" t="s">
        <v>1095</v>
      </c>
      <c r="E95" s="122" t="s">
        <v>1105</v>
      </c>
      <c r="F95" s="122" t="s">
        <v>1106</v>
      </c>
      <c r="G95" s="121" t="s">
        <v>466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495</v>
      </c>
      <c r="C96" s="121" t="s">
        <v>869</v>
      </c>
      <c r="D96" s="121" t="s">
        <v>1095</v>
      </c>
      <c r="E96" s="122" t="s">
        <v>1107</v>
      </c>
      <c r="F96" s="122" t="s">
        <v>1108</v>
      </c>
      <c r="G96" s="121" t="s">
        <v>1109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89</v>
      </c>
      <c r="C97" s="121" t="s">
        <v>869</v>
      </c>
      <c r="D97" s="121" t="s">
        <v>885</v>
      </c>
      <c r="E97" s="122" t="s">
        <v>1110</v>
      </c>
      <c r="F97" s="122" t="s">
        <v>1111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101</v>
      </c>
      <c r="C98" s="121" t="s">
        <v>869</v>
      </c>
      <c r="D98" s="121" t="s">
        <v>885</v>
      </c>
      <c r="E98" s="122" t="s">
        <v>1112</v>
      </c>
      <c r="F98" s="122" t="s">
        <v>1113</v>
      </c>
      <c r="G98" s="121" t="s">
        <v>100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237</v>
      </c>
      <c r="C99" s="121" t="s">
        <v>869</v>
      </c>
      <c r="D99" s="121" t="s">
        <v>885</v>
      </c>
      <c r="E99" s="122" t="s">
        <v>1114</v>
      </c>
      <c r="F99" s="122" t="s">
        <v>1115</v>
      </c>
      <c r="G99" s="121" t="s">
        <v>899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242</v>
      </c>
      <c r="C100" s="121" t="s">
        <v>869</v>
      </c>
      <c r="D100" s="121" t="s">
        <v>885</v>
      </c>
      <c r="E100" s="122" t="s">
        <v>1116</v>
      </c>
      <c r="F100" s="122" t="s">
        <v>1117</v>
      </c>
      <c r="G100" s="121" t="s">
        <v>899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245</v>
      </c>
      <c r="C101" s="121" t="s">
        <v>869</v>
      </c>
      <c r="D101" s="121" t="s">
        <v>885</v>
      </c>
      <c r="E101" s="122" t="s">
        <v>1118</v>
      </c>
      <c r="F101" s="122" t="s">
        <v>1119</v>
      </c>
      <c r="G101" s="121" t="s">
        <v>899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248</v>
      </c>
      <c r="C102" s="121" t="s">
        <v>869</v>
      </c>
      <c r="D102" s="121" t="s">
        <v>885</v>
      </c>
      <c r="E102" s="122" t="s">
        <v>1120</v>
      </c>
      <c r="F102" s="122" t="s">
        <v>1121</v>
      </c>
      <c r="G102" s="121" t="s">
        <v>899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94</v>
      </c>
      <c r="C103" s="121" t="s">
        <v>869</v>
      </c>
      <c r="D103" s="121" t="s">
        <v>885</v>
      </c>
      <c r="E103" s="122" t="s">
        <v>1122</v>
      </c>
      <c r="F103" s="122" t="s">
        <v>1123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251</v>
      </c>
      <c r="C104" s="121" t="s">
        <v>869</v>
      </c>
      <c r="D104" s="121" t="s">
        <v>885</v>
      </c>
      <c r="E104" s="122" t="s">
        <v>1124</v>
      </c>
      <c r="F104" s="122" t="s">
        <v>1125</v>
      </c>
      <c r="G104" s="121" t="s">
        <v>899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254</v>
      </c>
      <c r="C105" s="121" t="s">
        <v>869</v>
      </c>
      <c r="D105" s="121" t="s">
        <v>885</v>
      </c>
      <c r="E105" s="122" t="s">
        <v>1126</v>
      </c>
      <c r="F105" s="122" t="s">
        <v>1127</v>
      </c>
      <c r="G105" s="121" t="s">
        <v>899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869</v>
      </c>
      <c r="D106" s="121" t="s">
        <v>885</v>
      </c>
      <c r="E106" s="122" t="s">
        <v>1128</v>
      </c>
      <c r="F106" s="122" t="s">
        <v>1129</v>
      </c>
      <c r="G106" s="121" t="s">
        <v>899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257</v>
      </c>
      <c r="C107" s="121" t="s">
        <v>869</v>
      </c>
      <c r="D107" s="121" t="s">
        <v>885</v>
      </c>
      <c r="E107" s="122" t="s">
        <v>1130</v>
      </c>
      <c r="F107" s="122" t="s">
        <v>1131</v>
      </c>
      <c r="G107" s="121" t="s">
        <v>899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482</v>
      </c>
      <c r="C108" s="126" t="s">
        <v>869</v>
      </c>
      <c r="D108" s="126" t="s">
        <v>885</v>
      </c>
      <c r="E108" s="127" t="s">
        <v>1132</v>
      </c>
      <c r="F108" s="127" t="s">
        <v>1133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262</v>
      </c>
      <c r="C109" s="121" t="s">
        <v>869</v>
      </c>
      <c r="D109" s="121" t="s">
        <v>885</v>
      </c>
      <c r="E109" s="122" t="s">
        <v>1134</v>
      </c>
      <c r="F109" s="122" t="s">
        <v>1135</v>
      </c>
      <c r="G109" s="121" t="s">
        <v>899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1136</v>
      </c>
      <c r="C110" s="121" t="s">
        <v>869</v>
      </c>
      <c r="D110" s="121" t="s">
        <v>885</v>
      </c>
      <c r="E110" s="122" t="s">
        <v>1137</v>
      </c>
      <c r="F110" s="122" t="s">
        <v>1138</v>
      </c>
      <c r="G110" s="121" t="s">
        <v>899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265</v>
      </c>
      <c r="C111" s="121" t="s">
        <v>869</v>
      </c>
      <c r="D111" s="121" t="s">
        <v>885</v>
      </c>
      <c r="E111" s="122" t="s">
        <v>1139</v>
      </c>
      <c r="F111" s="122" t="s">
        <v>1140</v>
      </c>
      <c r="G111" s="121" t="s">
        <v>899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268</v>
      </c>
      <c r="C112" s="121" t="s">
        <v>869</v>
      </c>
      <c r="D112" s="121" t="s">
        <v>885</v>
      </c>
      <c r="E112" s="122" t="s">
        <v>1141</v>
      </c>
      <c r="F112" s="122" t="s">
        <v>1142</v>
      </c>
      <c r="G112" s="121" t="s">
        <v>899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297</v>
      </c>
      <c r="C113" s="121" t="s">
        <v>869</v>
      </c>
      <c r="D113" s="121" t="s">
        <v>885</v>
      </c>
      <c r="E113" s="122" t="s">
        <v>1143</v>
      </c>
      <c r="F113" s="122" t="s">
        <v>1144</v>
      </c>
      <c r="G113" s="121" t="s">
        <v>899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306</v>
      </c>
      <c r="C114" s="121" t="s">
        <v>869</v>
      </c>
      <c r="D114" s="121" t="s">
        <v>885</v>
      </c>
      <c r="E114" s="122" t="s">
        <v>1145</v>
      </c>
      <c r="F114" s="122" t="s">
        <v>1146</v>
      </c>
      <c r="G114" s="121" t="s">
        <v>899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278</v>
      </c>
      <c r="C115" s="121" t="s">
        <v>869</v>
      </c>
      <c r="D115" s="121" t="s">
        <v>885</v>
      </c>
      <c r="E115" s="122" t="s">
        <v>1147</v>
      </c>
      <c r="F115" s="122" t="s">
        <v>1148</v>
      </c>
      <c r="G115" s="121" t="s">
        <v>899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274</v>
      </c>
      <c r="C116" s="121" t="s">
        <v>869</v>
      </c>
      <c r="D116" s="121" t="s">
        <v>885</v>
      </c>
      <c r="E116" s="122" t="s">
        <v>1149</v>
      </c>
      <c r="F116" s="122" t="s">
        <v>1150</v>
      </c>
      <c r="G116" s="121" t="s">
        <v>899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488</v>
      </c>
      <c r="C117" s="126" t="s">
        <v>869</v>
      </c>
      <c r="D117" s="123" t="s">
        <v>885</v>
      </c>
      <c r="E117" s="127" t="s">
        <v>1151</v>
      </c>
      <c r="F117" s="127" t="s">
        <v>1152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303</v>
      </c>
      <c r="C118" s="121" t="s">
        <v>869</v>
      </c>
      <c r="D118" s="121" t="s">
        <v>885</v>
      </c>
      <c r="E118" s="122" t="s">
        <v>1141</v>
      </c>
      <c r="F118" s="122" t="s">
        <v>1153</v>
      </c>
      <c r="G118" s="121" t="s">
        <v>899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300</v>
      </c>
      <c r="C119" s="121" t="s">
        <v>869</v>
      </c>
      <c r="D119" s="121" t="s">
        <v>885</v>
      </c>
      <c r="E119" s="122" t="s">
        <v>1154</v>
      </c>
      <c r="F119" s="122" t="s">
        <v>1155</v>
      </c>
      <c r="G119" s="121" t="s">
        <v>899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271</v>
      </c>
      <c r="C120" s="121" t="s">
        <v>869</v>
      </c>
      <c r="D120" s="121" t="s">
        <v>885</v>
      </c>
      <c r="E120" s="122" t="s">
        <v>1156</v>
      </c>
      <c r="F120" s="122" t="s">
        <v>1157</v>
      </c>
      <c r="G120" s="121" t="s">
        <v>899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1158</v>
      </c>
      <c r="C121" s="121" t="s">
        <v>869</v>
      </c>
      <c r="D121" s="121" t="s">
        <v>885</v>
      </c>
      <c r="E121" s="122" t="s">
        <v>1159</v>
      </c>
      <c r="F121" s="122" t="s">
        <v>1160</v>
      </c>
      <c r="G121" s="121" t="s">
        <v>899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281</v>
      </c>
      <c r="C122" s="121" t="s">
        <v>869</v>
      </c>
      <c r="D122" s="121" t="s">
        <v>885</v>
      </c>
      <c r="E122" s="122" t="s">
        <v>1161</v>
      </c>
      <c r="F122" s="122" t="s">
        <v>1162</v>
      </c>
      <c r="G122" s="121" t="s">
        <v>899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284</v>
      </c>
      <c r="C123" s="121" t="s">
        <v>869</v>
      </c>
      <c r="D123" s="121" t="s">
        <v>885</v>
      </c>
      <c r="E123" s="122" t="s">
        <v>1163</v>
      </c>
      <c r="F123" s="122" t="s">
        <v>1164</v>
      </c>
      <c r="G123" s="121" t="s">
        <v>899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287</v>
      </c>
      <c r="C124" s="121" t="s">
        <v>869</v>
      </c>
      <c r="D124" s="121" t="s">
        <v>885</v>
      </c>
      <c r="E124" s="122" t="s">
        <v>1165</v>
      </c>
      <c r="F124" s="122" t="s">
        <v>1166</v>
      </c>
      <c r="G124" s="121" t="s">
        <v>899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291</v>
      </c>
      <c r="C125" s="121" t="s">
        <v>869</v>
      </c>
      <c r="D125" s="121" t="s">
        <v>885</v>
      </c>
      <c r="E125" s="122" t="s">
        <v>1167</v>
      </c>
      <c r="F125" s="122" t="s">
        <v>1168</v>
      </c>
      <c r="G125" s="121" t="s">
        <v>899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294</v>
      </c>
      <c r="C126" s="121" t="s">
        <v>869</v>
      </c>
      <c r="D126" s="121" t="s">
        <v>885</v>
      </c>
      <c r="E126" s="122" t="s">
        <v>1169</v>
      </c>
      <c r="F126" s="122" t="s">
        <v>1170</v>
      </c>
      <c r="G126" s="121" t="s">
        <v>899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869</v>
      </c>
      <c r="D127" s="121" t="s">
        <v>885</v>
      </c>
      <c r="E127" s="122" t="s">
        <v>1171</v>
      </c>
      <c r="F127" s="137" t="s">
        <v>1172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869</v>
      </c>
      <c r="D128" s="121" t="s">
        <v>885</v>
      </c>
      <c r="E128" s="122" t="s">
        <v>1173</v>
      </c>
      <c r="F128" s="137" t="s">
        <v>1174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869</v>
      </c>
      <c r="D129" s="121" t="s">
        <v>885</v>
      </c>
      <c r="E129" s="122" t="s">
        <v>1175</v>
      </c>
      <c r="F129" s="122" t="s">
        <v>1176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869</v>
      </c>
      <c r="D130" s="121" t="s">
        <v>885</v>
      </c>
      <c r="E130" s="122" t="s">
        <v>1103</v>
      </c>
      <c r="F130" s="122" t="s">
        <v>1177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869</v>
      </c>
      <c r="D131" s="121" t="s">
        <v>885</v>
      </c>
      <c r="E131" s="122" t="s">
        <v>1178</v>
      </c>
      <c r="F131" s="137" t="s">
        <v>1179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869</v>
      </c>
      <c r="D132" s="121" t="s">
        <v>885</v>
      </c>
      <c r="E132" s="122" t="s">
        <v>1180</v>
      </c>
      <c r="F132" s="122" t="s">
        <v>1181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869</v>
      </c>
      <c r="D133" s="121" t="s">
        <v>885</v>
      </c>
      <c r="E133" s="122" t="s">
        <v>1182</v>
      </c>
      <c r="F133" s="122" t="s">
        <v>1183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869</v>
      </c>
      <c r="D134" s="121" t="s">
        <v>885</v>
      </c>
      <c r="E134" s="122" t="s">
        <v>1184</v>
      </c>
      <c r="F134" s="122" t="s">
        <v>1185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869</v>
      </c>
      <c r="D135" s="121" t="s">
        <v>885</v>
      </c>
      <c r="E135" s="122" t="s">
        <v>1186</v>
      </c>
      <c r="F135" s="122" t="s">
        <v>1187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869</v>
      </c>
      <c r="D136" s="121" t="s">
        <v>885</v>
      </c>
      <c r="E136" s="122" t="s">
        <v>1188</v>
      </c>
      <c r="F136" s="137" t="s">
        <v>1189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492</v>
      </c>
      <c r="C137" s="126" t="s">
        <v>869</v>
      </c>
      <c r="D137" s="126" t="s">
        <v>885</v>
      </c>
      <c r="E137" s="127" t="s">
        <v>1050</v>
      </c>
      <c r="F137" s="139" t="s">
        <v>1190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869</v>
      </c>
      <c r="D138" s="121" t="s">
        <v>885</v>
      </c>
      <c r="E138" s="122" t="s">
        <v>906</v>
      </c>
      <c r="F138" s="122" t="s">
        <v>942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869</v>
      </c>
      <c r="D139" s="121" t="s">
        <v>885</v>
      </c>
      <c r="E139" s="122" t="s">
        <v>1191</v>
      </c>
      <c r="F139" s="137" t="s">
        <v>1192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869</v>
      </c>
      <c r="D140" s="121" t="s">
        <v>885</v>
      </c>
      <c r="E140" s="122" t="s">
        <v>1193</v>
      </c>
      <c r="F140" s="137" t="s">
        <v>1194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869</v>
      </c>
      <c r="D141" s="121" t="s">
        <v>885</v>
      </c>
      <c r="E141" s="122" t="s">
        <v>1195</v>
      </c>
      <c r="F141" s="122" t="s">
        <v>1196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869</v>
      </c>
      <c r="D142" s="121" t="s">
        <v>885</v>
      </c>
      <c r="E142" s="122" t="s">
        <v>1197</v>
      </c>
      <c r="F142" s="122" t="s">
        <v>1198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869</v>
      </c>
      <c r="D143" s="121" t="s">
        <v>885</v>
      </c>
      <c r="E143" s="122" t="s">
        <v>1199</v>
      </c>
      <c r="F143" s="137" t="s">
        <v>1200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869</v>
      </c>
      <c r="D144" s="121" t="s">
        <v>885</v>
      </c>
      <c r="E144" s="122" t="s">
        <v>1201</v>
      </c>
      <c r="F144" s="122" t="s">
        <v>1202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869</v>
      </c>
      <c r="D145" s="121" t="s">
        <v>885</v>
      </c>
      <c r="E145" s="122" t="s">
        <v>1203</v>
      </c>
      <c r="F145" s="137" t="s">
        <v>1204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869</v>
      </c>
      <c r="D146" s="121" t="s">
        <v>885</v>
      </c>
      <c r="E146" s="122" t="s">
        <v>1205</v>
      </c>
      <c r="F146" s="122" t="s">
        <v>1206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869</v>
      </c>
      <c r="D147" s="121" t="s">
        <v>885</v>
      </c>
      <c r="E147" s="122" t="s">
        <v>1207</v>
      </c>
      <c r="F147" s="122" t="s">
        <v>1208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309</v>
      </c>
      <c r="C148" s="121" t="s">
        <v>869</v>
      </c>
      <c r="D148" s="121" t="s">
        <v>885</v>
      </c>
      <c r="E148" s="122" t="s">
        <v>1120</v>
      </c>
      <c r="F148" s="122" t="s">
        <v>1209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869</v>
      </c>
      <c r="D149" s="121" t="s">
        <v>885</v>
      </c>
      <c r="E149" s="122" t="s">
        <v>1210</v>
      </c>
      <c r="F149" s="122" t="s">
        <v>1211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869</v>
      </c>
      <c r="D150" s="121" t="s">
        <v>885</v>
      </c>
      <c r="E150" s="122" t="s">
        <v>1161</v>
      </c>
      <c r="F150" s="122" t="s">
        <v>1212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105</v>
      </c>
      <c r="C151" s="121" t="s">
        <v>869</v>
      </c>
      <c r="D151" s="121" t="s">
        <v>885</v>
      </c>
      <c r="E151" s="122" t="s">
        <v>1059</v>
      </c>
      <c r="F151" s="122" t="s">
        <v>1213</v>
      </c>
      <c r="G151" s="121" t="s">
        <v>100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486</v>
      </c>
      <c r="C152" s="126" t="s">
        <v>869</v>
      </c>
      <c r="D152" s="123" t="s">
        <v>885</v>
      </c>
      <c r="E152" s="127" t="s">
        <v>1214</v>
      </c>
      <c r="F152" s="127" t="s">
        <v>1215</v>
      </c>
      <c r="G152" s="126" t="s">
        <v>100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108</v>
      </c>
      <c r="C153" s="121" t="s">
        <v>869</v>
      </c>
      <c r="D153" s="121" t="s">
        <v>885</v>
      </c>
      <c r="E153" s="122" t="s">
        <v>1216</v>
      </c>
      <c r="F153" s="122" t="s">
        <v>1217</v>
      </c>
      <c r="G153" s="121" t="s">
        <v>100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490</v>
      </c>
      <c r="C154" s="126" t="s">
        <v>869</v>
      </c>
      <c r="D154" s="123" t="s">
        <v>885</v>
      </c>
      <c r="E154" s="127" t="s">
        <v>906</v>
      </c>
      <c r="F154" s="127" t="s">
        <v>1218</v>
      </c>
      <c r="G154" s="126" t="s">
        <v>100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1219</v>
      </c>
      <c r="C155" s="121" t="s">
        <v>869</v>
      </c>
      <c r="D155" s="121" t="s">
        <v>1095</v>
      </c>
      <c r="E155" s="122" t="s">
        <v>1220</v>
      </c>
      <c r="F155" s="122" t="s">
        <v>1221</v>
      </c>
      <c r="G155" s="121" t="s">
        <v>1222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548</v>
      </c>
      <c r="C156" s="126" t="s">
        <v>869</v>
      </c>
      <c r="D156" s="123" t="s">
        <v>870</v>
      </c>
      <c r="E156" s="127" t="s">
        <v>1059</v>
      </c>
      <c r="F156" s="127" t="s">
        <v>1223</v>
      </c>
      <c r="G156" s="126" t="s">
        <v>899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380</v>
      </c>
      <c r="C157" s="126" t="s">
        <v>869</v>
      </c>
      <c r="D157" s="123" t="s">
        <v>870</v>
      </c>
      <c r="E157" s="127" t="s">
        <v>1059</v>
      </c>
      <c r="F157" s="140" t="s">
        <v>1224</v>
      </c>
      <c r="G157" s="141" t="s">
        <v>100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C96" activePane="bottomRight" state="frozen"/>
      <selection pane="bottomRight" activeCell="DD122" sqref="DD122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863</v>
      </c>
      <c r="B1" s="146" t="s">
        <v>864</v>
      </c>
      <c r="C1" s="146" t="s">
        <v>866</v>
      </c>
      <c r="D1" s="147" t="s">
        <v>867</v>
      </c>
      <c r="E1" s="146" t="s">
        <v>868</v>
      </c>
      <c r="F1" s="146" t="s">
        <v>1225</v>
      </c>
      <c r="G1" s="146" t="s">
        <v>1226</v>
      </c>
      <c r="H1" s="146" t="s">
        <v>1227</v>
      </c>
      <c r="I1" s="146" t="s">
        <v>1228</v>
      </c>
      <c r="J1" s="148" t="s">
        <v>1229</v>
      </c>
      <c r="K1" s="149" t="s">
        <v>1230</v>
      </c>
      <c r="L1" s="150" t="s">
        <v>1231</v>
      </c>
      <c r="M1" s="149" t="s">
        <v>1232</v>
      </c>
      <c r="N1" s="150" t="s">
        <v>1233</v>
      </c>
      <c r="O1" s="149" t="s">
        <v>1234</v>
      </c>
      <c r="P1" s="150" t="s">
        <v>1235</v>
      </c>
      <c r="Q1" s="149" t="s">
        <v>1236</v>
      </c>
      <c r="R1" s="150" t="s">
        <v>1237</v>
      </c>
      <c r="S1" s="149" t="s">
        <v>1238</v>
      </c>
      <c r="T1" s="150" t="s">
        <v>1239</v>
      </c>
      <c r="U1" s="149" t="s">
        <v>1240</v>
      </c>
      <c r="V1" s="150" t="s">
        <v>1241</v>
      </c>
      <c r="W1" s="149" t="s">
        <v>1242</v>
      </c>
      <c r="X1" s="150" t="s">
        <v>1243</v>
      </c>
      <c r="Y1" s="149" t="s">
        <v>1244</v>
      </c>
      <c r="Z1" s="150" t="s">
        <v>1245</v>
      </c>
      <c r="AA1" s="149" t="s">
        <v>1246</v>
      </c>
      <c r="AB1" s="150" t="s">
        <v>1247</v>
      </c>
      <c r="AC1" s="149" t="s">
        <v>1248</v>
      </c>
      <c r="AD1" s="150" t="s">
        <v>1249</v>
      </c>
      <c r="AE1" s="149" t="s">
        <v>1250</v>
      </c>
      <c r="AF1" s="150" t="s">
        <v>1251</v>
      </c>
      <c r="AG1" s="149" t="s">
        <v>1252</v>
      </c>
      <c r="AH1" s="150" t="s">
        <v>1253</v>
      </c>
      <c r="AI1" s="149" t="s">
        <v>1254</v>
      </c>
      <c r="AJ1" s="150" t="s">
        <v>1255</v>
      </c>
      <c r="AK1" s="149" t="s">
        <v>1232</v>
      </c>
      <c r="AL1" s="150" t="s">
        <v>1256</v>
      </c>
      <c r="AM1" s="149" t="s">
        <v>1234</v>
      </c>
      <c r="AN1" s="150" t="s">
        <v>1257</v>
      </c>
      <c r="AO1" s="149" t="s">
        <v>1236</v>
      </c>
      <c r="AP1" s="150" t="s">
        <v>1258</v>
      </c>
      <c r="AQ1" s="151" t="s">
        <v>1238</v>
      </c>
      <c r="AR1" s="152" t="s">
        <v>1259</v>
      </c>
      <c r="AS1" s="151" t="s">
        <v>1240</v>
      </c>
      <c r="AT1" s="152" t="s">
        <v>1260</v>
      </c>
      <c r="AU1" s="151" t="s">
        <v>1242</v>
      </c>
      <c r="AV1" s="152" t="s">
        <v>1261</v>
      </c>
      <c r="AW1" s="151" t="s">
        <v>1244</v>
      </c>
      <c r="AX1" s="152" t="s">
        <v>1262</v>
      </c>
      <c r="AY1" s="151" t="s">
        <v>1246</v>
      </c>
      <c r="AZ1" s="152" t="s">
        <v>1263</v>
      </c>
      <c r="BA1" s="151" t="s">
        <v>1248</v>
      </c>
      <c r="BB1" s="152" t="s">
        <v>1264</v>
      </c>
      <c r="BC1" s="151" t="s">
        <v>1250</v>
      </c>
      <c r="BD1" s="152" t="s">
        <v>1265</v>
      </c>
      <c r="BE1" s="151" t="s">
        <v>1252</v>
      </c>
      <c r="BF1" s="152" t="s">
        <v>1266</v>
      </c>
      <c r="BG1" s="151" t="s">
        <v>1230</v>
      </c>
      <c r="BH1" s="152" t="s">
        <v>1267</v>
      </c>
      <c r="BI1" s="151" t="s">
        <v>1232</v>
      </c>
      <c r="BJ1" s="152" t="s">
        <v>1268</v>
      </c>
      <c r="BK1" s="151" t="s">
        <v>1234</v>
      </c>
      <c r="BL1" s="152" t="s">
        <v>1269</v>
      </c>
      <c r="BM1" s="151" t="s">
        <v>1236</v>
      </c>
      <c r="BN1" s="152" t="s">
        <v>1270</v>
      </c>
      <c r="BO1" s="151" t="s">
        <v>1238</v>
      </c>
      <c r="BP1" s="152" t="s">
        <v>1271</v>
      </c>
      <c r="BQ1" s="151" t="s">
        <v>1240</v>
      </c>
      <c r="BR1" s="152" t="s">
        <v>1272</v>
      </c>
      <c r="BS1" s="151" t="s">
        <v>1242</v>
      </c>
      <c r="BT1" s="152" t="s">
        <v>1273</v>
      </c>
      <c r="BU1" s="153" t="s">
        <v>1274</v>
      </c>
      <c r="BV1" s="152" t="s">
        <v>1275</v>
      </c>
      <c r="BW1" s="153" t="s">
        <v>1276</v>
      </c>
      <c r="BX1" s="152" t="s">
        <v>1277</v>
      </c>
      <c r="BY1" s="153" t="s">
        <v>1278</v>
      </c>
      <c r="BZ1" s="152" t="s">
        <v>1279</v>
      </c>
      <c r="CA1" s="154" t="s">
        <v>1280</v>
      </c>
      <c r="CB1" s="152" t="s">
        <v>1281</v>
      </c>
      <c r="CC1" s="154" t="s">
        <v>1252</v>
      </c>
      <c r="CD1" s="155" t="s">
        <v>1282</v>
      </c>
      <c r="CE1" s="156" t="s">
        <v>1283</v>
      </c>
      <c r="CF1" s="157" t="s">
        <v>1284</v>
      </c>
      <c r="CG1" s="158" t="s">
        <v>1285</v>
      </c>
      <c r="CH1" s="157" t="s">
        <v>1286</v>
      </c>
      <c r="CI1" s="159" t="s">
        <v>1287</v>
      </c>
      <c r="CJ1" s="157" t="s">
        <v>1284</v>
      </c>
      <c r="CK1" s="158" t="s">
        <v>1285</v>
      </c>
      <c r="CL1" s="157" t="s">
        <v>1288</v>
      </c>
      <c r="CM1" s="160" t="s">
        <v>1289</v>
      </c>
      <c r="CN1" s="161" t="s">
        <v>1284</v>
      </c>
      <c r="CO1" s="158" t="s">
        <v>1285</v>
      </c>
      <c r="CP1" s="157" t="s">
        <v>1290</v>
      </c>
      <c r="CQ1" s="162" t="s">
        <v>1291</v>
      </c>
      <c r="CR1" s="163" t="s">
        <v>1284</v>
      </c>
      <c r="CS1" s="158" t="s">
        <v>1285</v>
      </c>
      <c r="CT1" s="157" t="s">
        <v>1290</v>
      </c>
      <c r="CU1" s="164" t="s">
        <v>1292</v>
      </c>
      <c r="CV1" s="163" t="s">
        <v>1284</v>
      </c>
      <c r="CW1" s="158" t="s">
        <v>1285</v>
      </c>
      <c r="CX1" s="157" t="s">
        <v>1290</v>
      </c>
      <c r="CY1" s="160" t="s">
        <v>1293</v>
      </c>
      <c r="CZ1" s="163" t="s">
        <v>1284</v>
      </c>
      <c r="DA1" s="158" t="s">
        <v>1285</v>
      </c>
      <c r="DB1" s="157" t="s">
        <v>1294</v>
      </c>
      <c r="DC1" s="160" t="s">
        <v>1295</v>
      </c>
      <c r="DD1" s="163" t="s">
        <v>1284</v>
      </c>
      <c r="DE1" s="158" t="s">
        <v>1285</v>
      </c>
      <c r="DF1" s="157" t="s">
        <v>1294</v>
      </c>
      <c r="DG1" s="160" t="s">
        <v>1296</v>
      </c>
      <c r="DH1" s="163" t="s">
        <v>1284</v>
      </c>
      <c r="DI1" s="158" t="s">
        <v>1285</v>
      </c>
      <c r="DJ1" s="157" t="s">
        <v>1294</v>
      </c>
      <c r="DK1" s="160" t="s">
        <v>1297</v>
      </c>
      <c r="DL1" s="163" t="s">
        <v>1284</v>
      </c>
      <c r="DM1" s="158" t="s">
        <v>1285</v>
      </c>
      <c r="DN1" s="157" t="s">
        <v>1294</v>
      </c>
      <c r="DO1" s="160" t="s">
        <v>1298</v>
      </c>
    </row>
    <row r="2" ht="14.25" customHeight="1" spans="1:119" s="165" customFormat="1" x14ac:dyDescent="0.25">
      <c r="A2" s="166" t="s">
        <v>695</v>
      </c>
      <c r="B2" s="167" t="s">
        <v>869</v>
      </c>
      <c r="C2" s="168" t="s">
        <v>871</v>
      </c>
      <c r="D2" s="168" t="s">
        <v>1299</v>
      </c>
      <c r="E2" s="168" t="s">
        <v>462</v>
      </c>
      <c r="F2" s="169" t="s">
        <v>1300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8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38.5</v>
      </c>
      <c r="DH2" s="182">
        <v>0</v>
      </c>
      <c r="DI2" s="174">
        <v>2.5</v>
      </c>
      <c r="DJ2" s="179">
        <f t="shared" ref="DJ2:DJ111" si="50">DG2+DI2</f>
        <v>41</v>
      </c>
      <c r="DK2" s="179">
        <f t="shared" ref="DK2:DK111" si="51">DJ2-DH2</f>
        <v>41</v>
      </c>
      <c r="DL2" s="182">
        <v>0</v>
      </c>
      <c r="DM2" s="174">
        <v>2.5</v>
      </c>
      <c r="DN2" s="179">
        <f t="shared" ref="DN2:DN111" si="52">DK2+DM2</f>
        <v>43.5</v>
      </c>
      <c r="DO2" s="179">
        <f t="shared" ref="DO2:DO111" si="53">DN2-DL2</f>
        <v>43.5</v>
      </c>
    </row>
    <row r="3" ht="14.25" customHeight="1" spans="1:119" x14ac:dyDescent="0.25">
      <c r="A3" s="184" t="s">
        <v>873</v>
      </c>
      <c r="B3" s="185" t="s">
        <v>869</v>
      </c>
      <c r="C3" s="186" t="s">
        <v>874</v>
      </c>
      <c r="D3" s="186" t="s">
        <v>875</v>
      </c>
      <c r="E3" s="186" t="s">
        <v>619</v>
      </c>
      <c r="F3" s="187" t="s">
        <v>1300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473</v>
      </c>
      <c r="B4" s="185" t="s">
        <v>869</v>
      </c>
      <c r="C4" s="186" t="s">
        <v>876</v>
      </c>
      <c r="D4" s="186" t="s">
        <v>1301</v>
      </c>
      <c r="E4" s="186" t="s">
        <v>541</v>
      </c>
      <c r="F4" s="187" t="s">
        <v>1300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869</v>
      </c>
      <c r="C5" s="203" t="s">
        <v>879</v>
      </c>
      <c r="D5" s="203" t="s">
        <v>880</v>
      </c>
      <c r="E5" s="203" t="s">
        <v>1302</v>
      </c>
      <c r="F5" s="204" t="s">
        <v>1300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882</v>
      </c>
      <c r="B6" s="185" t="s">
        <v>869</v>
      </c>
      <c r="C6" s="186" t="s">
        <v>883</v>
      </c>
      <c r="D6" s="186" t="s">
        <v>1303</v>
      </c>
      <c r="E6" s="186" t="s">
        <v>1304</v>
      </c>
      <c r="F6" s="187" t="s">
        <v>1300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s="52" customFormat="1" x14ac:dyDescent="0.25">
      <c r="A7" s="217" t="s">
        <v>759</v>
      </c>
      <c r="B7" s="218" t="s">
        <v>869</v>
      </c>
      <c r="C7" s="219" t="s">
        <v>886</v>
      </c>
      <c r="D7" s="219" t="s">
        <v>1305</v>
      </c>
      <c r="E7" s="219" t="s">
        <v>114</v>
      </c>
      <c r="F7" s="220" t="s">
        <v>1300</v>
      </c>
      <c r="G7" s="221">
        <v>43510</v>
      </c>
      <c r="H7" s="222"/>
      <c r="I7" s="222"/>
      <c r="J7" s="223">
        <v>42</v>
      </c>
      <c r="K7" s="224"/>
      <c r="L7" s="223">
        <f t="shared" si="0"/>
        <v>44.5</v>
      </c>
      <c r="M7" s="224"/>
      <c r="N7" s="223">
        <f t="shared" si="1"/>
        <v>47</v>
      </c>
      <c r="O7" s="224"/>
      <c r="P7" s="223">
        <f t="shared" si="2"/>
        <v>49.5</v>
      </c>
      <c r="Q7" s="224">
        <v>20</v>
      </c>
      <c r="R7" s="223">
        <f t="shared" si="3"/>
        <v>32</v>
      </c>
      <c r="S7" s="224"/>
      <c r="T7" s="223">
        <f t="shared" si="4"/>
        <v>34.5</v>
      </c>
      <c r="U7" s="224"/>
      <c r="V7" s="223">
        <f t="shared" si="5"/>
        <v>37</v>
      </c>
      <c r="W7" s="224"/>
      <c r="X7" s="223">
        <f t="shared" si="6"/>
        <v>39.5</v>
      </c>
      <c r="Y7" s="224"/>
      <c r="Z7" s="223">
        <f t="shared" si="7"/>
        <v>42</v>
      </c>
      <c r="AA7" s="224"/>
      <c r="AB7" s="223">
        <f t="shared" si="8"/>
        <v>44.5</v>
      </c>
      <c r="AC7" s="224"/>
      <c r="AD7" s="223">
        <f t="shared" si="9"/>
        <v>47</v>
      </c>
      <c r="AE7" s="224"/>
      <c r="AF7" s="223">
        <f t="shared" si="10"/>
        <v>49.5</v>
      </c>
      <c r="AG7" s="224">
        <v>5</v>
      </c>
      <c r="AH7" s="223">
        <f t="shared" si="11"/>
        <v>47</v>
      </c>
      <c r="AI7" s="224"/>
      <c r="AJ7" s="223">
        <f t="shared" si="12"/>
        <v>49.5</v>
      </c>
      <c r="AK7" s="59">
        <v>1</v>
      </c>
      <c r="AL7" s="225">
        <f t="shared" si="13"/>
        <v>51</v>
      </c>
      <c r="AM7" s="59"/>
      <c r="AN7" s="226">
        <f t="shared" si="14"/>
        <v>53.5</v>
      </c>
      <c r="AO7" s="59">
        <v>28</v>
      </c>
      <c r="AP7" s="226">
        <f t="shared" si="15"/>
        <v>28</v>
      </c>
      <c r="AQ7" s="226"/>
      <c r="AR7" s="226">
        <f t="shared" si="16"/>
        <v>30.5</v>
      </c>
      <c r="AS7" s="226"/>
      <c r="AT7" s="226">
        <f t="shared" si="17"/>
        <v>33</v>
      </c>
      <c r="AU7" s="225"/>
      <c r="AV7" s="226">
        <f t="shared" si="18"/>
        <v>35.5</v>
      </c>
      <c r="AW7" s="227"/>
      <c r="AX7" s="226">
        <f t="shared" si="19"/>
        <v>38</v>
      </c>
      <c r="AY7" s="226"/>
      <c r="AZ7" s="226">
        <f t="shared" si="20"/>
        <v>40.5</v>
      </c>
      <c r="BA7" s="225"/>
      <c r="BB7" s="226">
        <f t="shared" si="21"/>
        <v>43</v>
      </c>
      <c r="BC7" s="226"/>
      <c r="BD7" s="225">
        <f t="shared" si="22"/>
        <v>45.5</v>
      </c>
      <c r="BE7" s="225"/>
      <c r="BF7" s="225">
        <f t="shared" si="23"/>
        <v>48</v>
      </c>
      <c r="BG7" s="225"/>
      <c r="BH7" s="225">
        <f t="shared" si="24"/>
        <v>50.5</v>
      </c>
      <c r="BI7" s="225"/>
      <c r="BJ7" s="225">
        <f t="shared" si="25"/>
        <v>53</v>
      </c>
      <c r="BK7" s="225"/>
      <c r="BL7" s="225">
        <f t="shared" si="26"/>
        <v>55.5</v>
      </c>
      <c r="BM7" s="225"/>
      <c r="BN7" s="225">
        <f t="shared" si="27"/>
        <v>58</v>
      </c>
      <c r="BO7" s="225">
        <v>26</v>
      </c>
      <c r="BP7" s="225">
        <f t="shared" si="28"/>
        <v>34.5</v>
      </c>
      <c r="BQ7" s="225"/>
      <c r="BR7" s="225">
        <f t="shared" si="29"/>
        <v>37</v>
      </c>
      <c r="BS7" s="225"/>
      <c r="BT7" s="225">
        <f t="shared" si="30"/>
        <v>39.5</v>
      </c>
      <c r="BU7" s="225"/>
      <c r="BV7" s="225">
        <f t="shared" si="31"/>
        <v>42</v>
      </c>
      <c r="BW7" s="225"/>
      <c r="BX7" s="225">
        <f t="shared" si="32"/>
        <v>44.5</v>
      </c>
      <c r="BY7" s="225"/>
      <c r="BZ7" s="225">
        <f t="shared" si="33"/>
        <v>47</v>
      </c>
      <c r="CA7" s="225"/>
      <c r="CB7" s="225">
        <f t="shared" si="34"/>
        <v>49.5</v>
      </c>
      <c r="CC7" s="225"/>
      <c r="CD7" s="228">
        <f t="shared" si="35"/>
        <v>52</v>
      </c>
      <c r="CE7" s="229"/>
      <c r="CF7" s="230"/>
      <c r="CG7" s="231">
        <v>2.5</v>
      </c>
      <c r="CH7" s="231">
        <f t="shared" si="36"/>
        <v>54.5</v>
      </c>
      <c r="CI7" s="228">
        <f t="shared" si="37"/>
        <v>54.5</v>
      </c>
      <c r="CJ7" s="59"/>
      <c r="CK7" s="59">
        <v>2.5</v>
      </c>
      <c r="CL7" s="228">
        <f t="shared" si="38"/>
        <v>57</v>
      </c>
      <c r="CM7" s="228">
        <f t="shared" si="39"/>
        <v>57</v>
      </c>
      <c r="CN7" s="225">
        <v>20</v>
      </c>
      <c r="CO7" s="59">
        <v>2.5</v>
      </c>
      <c r="CP7" s="228">
        <f t="shared" si="40"/>
        <v>59.5</v>
      </c>
      <c r="CQ7" s="228">
        <f t="shared" si="41"/>
        <v>39.5</v>
      </c>
      <c r="CR7" s="232">
        <v>0</v>
      </c>
      <c r="CS7" s="59">
        <v>2.5</v>
      </c>
      <c r="CT7" s="228">
        <f t="shared" si="42"/>
        <v>42</v>
      </c>
      <c r="CU7" s="233">
        <f t="shared" si="43"/>
        <v>42</v>
      </c>
      <c r="CV7" s="232">
        <v>0</v>
      </c>
      <c r="CW7" s="59">
        <v>2.5</v>
      </c>
      <c r="CX7" s="228">
        <f t="shared" si="44"/>
        <v>44.5</v>
      </c>
      <c r="CY7" s="228">
        <f t="shared" si="45"/>
        <v>44.5</v>
      </c>
      <c r="CZ7" s="232">
        <v>0</v>
      </c>
      <c r="DA7" s="59">
        <v>2.5</v>
      </c>
      <c r="DB7" s="228">
        <f t="shared" si="46"/>
        <v>47</v>
      </c>
      <c r="DC7" s="228">
        <f t="shared" si="47"/>
        <v>47</v>
      </c>
      <c r="DD7" s="232">
        <v>31</v>
      </c>
      <c r="DE7" s="59">
        <v>2.5</v>
      </c>
      <c r="DF7" s="228">
        <f t="shared" si="48"/>
        <v>49.5</v>
      </c>
      <c r="DG7" s="228">
        <f t="shared" si="49"/>
        <v>18.5</v>
      </c>
      <c r="DH7" s="232">
        <v>0</v>
      </c>
      <c r="DI7" s="59">
        <v>2.5</v>
      </c>
      <c r="DJ7" s="228">
        <f t="shared" si="50"/>
        <v>21</v>
      </c>
      <c r="DK7" s="228">
        <f t="shared" si="51"/>
        <v>21</v>
      </c>
      <c r="DL7" s="232">
        <v>0</v>
      </c>
      <c r="DM7" s="59">
        <v>2.5</v>
      </c>
      <c r="DN7" s="228">
        <f t="shared" si="52"/>
        <v>23.5</v>
      </c>
      <c r="DO7" s="228">
        <f t="shared" si="53"/>
        <v>23.5</v>
      </c>
    </row>
    <row r="8" ht="14.25" customHeight="1" spans="1:119" x14ac:dyDescent="0.25">
      <c r="A8" s="184" t="s">
        <v>428</v>
      </c>
      <c r="B8" s="185" t="s">
        <v>869</v>
      </c>
      <c r="C8" s="186" t="s">
        <v>888</v>
      </c>
      <c r="D8" s="234" t="s">
        <v>889</v>
      </c>
      <c r="E8" s="234" t="s">
        <v>114</v>
      </c>
      <c r="F8" s="235" t="s">
        <v>1300</v>
      </c>
      <c r="G8" s="188">
        <v>43510</v>
      </c>
      <c r="H8" s="235"/>
      <c r="I8" s="235"/>
      <c r="J8" s="235">
        <v>36</v>
      </c>
      <c r="K8" s="235">
        <v>1</v>
      </c>
      <c r="L8" s="235">
        <f t="shared" si="0"/>
        <v>37.5</v>
      </c>
      <c r="M8" s="235"/>
      <c r="N8" s="235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31</v>
      </c>
      <c r="DE8" s="174">
        <v>2.5</v>
      </c>
      <c r="DF8" s="196">
        <f t="shared" si="48"/>
        <v>118.5</v>
      </c>
      <c r="DG8" s="196">
        <f t="shared" si="49"/>
        <v>87.5</v>
      </c>
      <c r="DH8" s="182">
        <v>0</v>
      </c>
      <c r="DI8" s="174">
        <v>2.5</v>
      </c>
      <c r="DJ8" s="196">
        <f t="shared" si="50"/>
        <v>90</v>
      </c>
      <c r="DK8" s="196">
        <f t="shared" si="51"/>
        <v>90</v>
      </c>
      <c r="DL8" s="182">
        <v>0</v>
      </c>
      <c r="DM8" s="174">
        <v>2.5</v>
      </c>
      <c r="DN8" s="196">
        <f t="shared" si="52"/>
        <v>92.5</v>
      </c>
      <c r="DO8" s="196">
        <f t="shared" si="53"/>
        <v>92.5</v>
      </c>
    </row>
    <row r="9" ht="14.25" customHeight="1" spans="1:119" x14ac:dyDescent="0.25">
      <c r="A9" s="184" t="s">
        <v>141</v>
      </c>
      <c r="B9" s="185" t="s">
        <v>869</v>
      </c>
      <c r="C9" s="186" t="s">
        <v>891</v>
      </c>
      <c r="D9" s="234" t="s">
        <v>892</v>
      </c>
      <c r="E9" s="234" t="s">
        <v>589</v>
      </c>
      <c r="F9" s="235" t="s">
        <v>1300</v>
      </c>
      <c r="G9" s="188">
        <v>43774</v>
      </c>
      <c r="H9" s="235"/>
      <c r="I9" s="235"/>
      <c r="J9" s="235">
        <v>46</v>
      </c>
      <c r="K9" s="235">
        <v>4</v>
      </c>
      <c r="L9" s="235">
        <f t="shared" si="0"/>
        <v>44.5</v>
      </c>
      <c r="M9" s="235"/>
      <c r="N9" s="235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389</v>
      </c>
      <c r="B10" s="39" t="s">
        <v>869</v>
      </c>
      <c r="C10" s="236" t="s">
        <v>1306</v>
      </c>
      <c r="D10" s="234" t="s">
        <v>1307</v>
      </c>
      <c r="E10" s="234"/>
      <c r="F10" s="235"/>
      <c r="G10" s="188"/>
      <c r="H10" s="235"/>
      <c r="I10" s="235"/>
      <c r="J10" s="235"/>
      <c r="K10" s="235"/>
      <c r="L10" s="235"/>
      <c r="M10" s="235"/>
      <c r="N10" s="235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31</v>
      </c>
      <c r="DE10" s="174">
        <v>2.5</v>
      </c>
      <c r="DF10" s="196">
        <f t="shared" si="48"/>
        <v>50.5</v>
      </c>
      <c r="DG10" s="196">
        <f t="shared" si="49"/>
        <v>19.5</v>
      </c>
      <c r="DH10" s="182">
        <v>0</v>
      </c>
      <c r="DI10" s="174">
        <v>2.5</v>
      </c>
      <c r="DJ10" s="196">
        <f t="shared" si="50"/>
        <v>22</v>
      </c>
      <c r="DK10" s="196">
        <f t="shared" si="51"/>
        <v>22</v>
      </c>
      <c r="DL10" s="182">
        <v>0</v>
      </c>
      <c r="DM10" s="174">
        <v>2.5</v>
      </c>
      <c r="DN10" s="196">
        <f t="shared" si="52"/>
        <v>24.5</v>
      </c>
      <c r="DO10" s="196">
        <f t="shared" si="53"/>
        <v>24.5</v>
      </c>
    </row>
    <row r="11" ht="16.5" customHeight="1" spans="1:119" x14ac:dyDescent="0.25">
      <c r="A11" s="184" t="s">
        <v>896</v>
      </c>
      <c r="B11" s="185" t="s">
        <v>869</v>
      </c>
      <c r="C11" s="186" t="s">
        <v>1308</v>
      </c>
      <c r="D11" s="234" t="s">
        <v>898</v>
      </c>
      <c r="E11" s="234" t="s">
        <v>899</v>
      </c>
      <c r="F11" s="235" t="s">
        <v>1300</v>
      </c>
      <c r="G11" s="188">
        <v>44158</v>
      </c>
      <c r="H11" s="235"/>
      <c r="I11" s="235"/>
      <c r="J11" s="235">
        <v>66</v>
      </c>
      <c r="K11" s="235"/>
      <c r="L11" s="235">
        <f t="shared" ref="L11:L20" si="54">J11-K11+2.5</f>
        <v>68.5</v>
      </c>
      <c r="M11" s="235">
        <v>20</v>
      </c>
      <c r="N11" s="235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37" t="s">
        <v>900</v>
      </c>
      <c r="B12" s="185" t="s">
        <v>869</v>
      </c>
      <c r="C12" s="186" t="s">
        <v>901</v>
      </c>
      <c r="D12" s="234" t="s">
        <v>902</v>
      </c>
      <c r="E12" s="234" t="s">
        <v>899</v>
      </c>
      <c r="F12" s="235" t="s">
        <v>1300</v>
      </c>
      <c r="G12" s="188">
        <v>44158</v>
      </c>
      <c r="H12" s="235"/>
      <c r="I12" s="235"/>
      <c r="J12" s="235">
        <v>51</v>
      </c>
      <c r="K12" s="235"/>
      <c r="L12" s="235">
        <f t="shared" si="54"/>
        <v>53.5</v>
      </c>
      <c r="M12" s="235"/>
      <c r="N12" s="235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903</v>
      </c>
      <c r="B13" s="185" t="s">
        <v>869</v>
      </c>
      <c r="C13" s="186" t="s">
        <v>904</v>
      </c>
      <c r="D13" s="234" t="s">
        <v>905</v>
      </c>
      <c r="E13" s="234" t="s">
        <v>499</v>
      </c>
      <c r="F13" s="235" t="s">
        <v>1300</v>
      </c>
      <c r="G13" s="188">
        <v>44179</v>
      </c>
      <c r="H13" s="235"/>
      <c r="I13" s="235"/>
      <c r="J13" s="235">
        <v>43.5</v>
      </c>
      <c r="K13" s="235"/>
      <c r="L13" s="235">
        <f t="shared" si="54"/>
        <v>46</v>
      </c>
      <c r="M13" s="235"/>
      <c r="N13" s="235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475</v>
      </c>
      <c r="B14" s="185" t="s">
        <v>869</v>
      </c>
      <c r="C14" s="186" t="s">
        <v>906</v>
      </c>
      <c r="D14" s="234" t="s">
        <v>1309</v>
      </c>
      <c r="E14" s="234" t="s">
        <v>462</v>
      </c>
      <c r="F14" s="235" t="s">
        <v>1300</v>
      </c>
      <c r="G14" s="188">
        <v>44385</v>
      </c>
      <c r="H14" s="235"/>
      <c r="I14" s="235"/>
      <c r="J14" s="235">
        <v>38</v>
      </c>
      <c r="K14" s="235"/>
      <c r="L14" s="235">
        <f t="shared" si="54"/>
        <v>40.5</v>
      </c>
      <c r="M14" s="235"/>
      <c r="N14" s="235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17" t="s">
        <v>908</v>
      </c>
      <c r="B15" s="218" t="s">
        <v>869</v>
      </c>
      <c r="C15" s="219" t="s">
        <v>909</v>
      </c>
      <c r="D15" s="238" t="s">
        <v>910</v>
      </c>
      <c r="E15" s="238" t="s">
        <v>114</v>
      </c>
      <c r="F15" s="239" t="s">
        <v>1300</v>
      </c>
      <c r="G15" s="221">
        <v>44385</v>
      </c>
      <c r="H15" s="239"/>
      <c r="I15" s="239"/>
      <c r="J15" s="239">
        <v>44.5</v>
      </c>
      <c r="K15" s="239">
        <v>6</v>
      </c>
      <c r="L15" s="239">
        <f t="shared" si="54"/>
        <v>41</v>
      </c>
      <c r="M15" s="239"/>
      <c r="N15" s="239">
        <f t="shared" si="55"/>
        <v>43.5</v>
      </c>
      <c r="O15" s="230"/>
      <c r="P15" s="226">
        <f t="shared" si="56"/>
        <v>46</v>
      </c>
      <c r="Q15" s="230"/>
      <c r="R15" s="226">
        <f t="shared" si="57"/>
        <v>48.5</v>
      </c>
      <c r="S15" s="230"/>
      <c r="T15" s="226">
        <f t="shared" si="58"/>
        <v>51</v>
      </c>
      <c r="U15" s="230"/>
      <c r="V15" s="226">
        <f t="shared" si="59"/>
        <v>53.5</v>
      </c>
      <c r="W15" s="230"/>
      <c r="X15" s="226">
        <f t="shared" si="60"/>
        <v>56</v>
      </c>
      <c r="Y15" s="230"/>
      <c r="Z15" s="226">
        <f t="shared" si="61"/>
        <v>58.5</v>
      </c>
      <c r="AA15" s="230"/>
      <c r="AB15" s="226">
        <f t="shared" si="62"/>
        <v>61</v>
      </c>
      <c r="AC15" s="230">
        <v>1</v>
      </c>
      <c r="AD15" s="226">
        <f t="shared" si="63"/>
        <v>62.5</v>
      </c>
      <c r="AE15" s="230"/>
      <c r="AF15" s="226">
        <f t="shared" si="64"/>
        <v>65</v>
      </c>
      <c r="AG15" s="230"/>
      <c r="AH15" s="226">
        <f t="shared" si="65"/>
        <v>67.5</v>
      </c>
      <c r="AI15" s="230"/>
      <c r="AJ15" s="226">
        <f t="shared" si="66"/>
        <v>70</v>
      </c>
      <c r="AK15" s="230"/>
      <c r="AL15" s="226">
        <f t="shared" si="67"/>
        <v>72.5</v>
      </c>
      <c r="AM15" s="230"/>
      <c r="AN15" s="226">
        <f t="shared" si="68"/>
        <v>75</v>
      </c>
      <c r="AO15" s="230"/>
      <c r="AP15" s="226">
        <f t="shared" si="69"/>
        <v>77.5</v>
      </c>
      <c r="AQ15" s="230"/>
      <c r="AR15" s="226">
        <f t="shared" si="70"/>
        <v>80</v>
      </c>
      <c r="AS15" s="230"/>
      <c r="AT15" s="226">
        <f t="shared" si="71"/>
        <v>82.5</v>
      </c>
      <c r="AU15" s="230"/>
      <c r="AV15" s="226">
        <f t="shared" si="72"/>
        <v>85</v>
      </c>
      <c r="AW15" s="230"/>
      <c r="AX15" s="226">
        <f t="shared" si="73"/>
        <v>87.5</v>
      </c>
      <c r="AY15" s="230"/>
      <c r="AZ15" s="226">
        <f t="shared" si="74"/>
        <v>90</v>
      </c>
      <c r="BA15" s="230"/>
      <c r="BB15" s="226">
        <f t="shared" si="75"/>
        <v>92.5</v>
      </c>
      <c r="BC15" s="230"/>
      <c r="BD15" s="226">
        <f t="shared" si="76"/>
        <v>95</v>
      </c>
      <c r="BE15" s="230"/>
      <c r="BF15" s="226">
        <f t="shared" si="77"/>
        <v>97.5</v>
      </c>
      <c r="BG15" s="230">
        <v>14</v>
      </c>
      <c r="BH15" s="226">
        <f t="shared" si="78"/>
        <v>86</v>
      </c>
      <c r="BI15" s="230"/>
      <c r="BJ15" s="226">
        <f t="shared" si="79"/>
        <v>88.5</v>
      </c>
      <c r="BK15" s="230"/>
      <c r="BL15" s="226">
        <f t="shared" si="80"/>
        <v>91</v>
      </c>
      <c r="BM15" s="230"/>
      <c r="BN15" s="226">
        <f t="shared" si="27"/>
        <v>93.5</v>
      </c>
      <c r="BO15" s="230"/>
      <c r="BP15" s="226">
        <f t="shared" si="28"/>
        <v>96</v>
      </c>
      <c r="BQ15" s="230"/>
      <c r="BR15" s="226">
        <f t="shared" si="29"/>
        <v>98.5</v>
      </c>
      <c r="BS15" s="230">
        <v>21</v>
      </c>
      <c r="BT15" s="226">
        <f t="shared" si="30"/>
        <v>80</v>
      </c>
      <c r="BU15" s="230"/>
      <c r="BV15" s="226">
        <f t="shared" si="81"/>
        <v>82.5</v>
      </c>
      <c r="BW15" s="230"/>
      <c r="BX15" s="226">
        <f t="shared" si="32"/>
        <v>85</v>
      </c>
      <c r="BY15" s="230"/>
      <c r="BZ15" s="231">
        <f t="shared" si="33"/>
        <v>87.5</v>
      </c>
      <c r="CA15" s="230"/>
      <c r="CB15" s="231">
        <f t="shared" si="34"/>
        <v>90</v>
      </c>
      <c r="CC15" s="231"/>
      <c r="CD15" s="231">
        <f t="shared" si="35"/>
        <v>92.5</v>
      </c>
      <c r="CE15" s="228"/>
      <c r="CF15" s="59"/>
      <c r="CG15" s="59">
        <v>2.5</v>
      </c>
      <c r="CH15" s="228">
        <f t="shared" si="36"/>
        <v>95</v>
      </c>
      <c r="CI15" s="228">
        <f t="shared" si="37"/>
        <v>95</v>
      </c>
      <c r="CJ15" s="59"/>
      <c r="CK15" s="59">
        <v>2.5</v>
      </c>
      <c r="CL15" s="228">
        <f t="shared" si="38"/>
        <v>97.5</v>
      </c>
      <c r="CM15" s="228">
        <f t="shared" si="39"/>
        <v>97.5</v>
      </c>
      <c r="CN15" s="225">
        <v>0</v>
      </c>
      <c r="CO15" s="59">
        <v>2.5</v>
      </c>
      <c r="CP15" s="228">
        <f t="shared" si="40"/>
        <v>100</v>
      </c>
      <c r="CQ15" s="228">
        <f t="shared" si="41"/>
        <v>100</v>
      </c>
      <c r="CR15" s="232">
        <v>0</v>
      </c>
      <c r="CS15" s="59">
        <v>2.5</v>
      </c>
      <c r="CT15" s="228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28">
        <f t="shared" si="44"/>
        <v>105</v>
      </c>
      <c r="CY15" s="228">
        <f t="shared" si="45"/>
        <v>90</v>
      </c>
      <c r="CZ15" s="232">
        <v>0</v>
      </c>
      <c r="DA15" s="59">
        <v>2.5</v>
      </c>
      <c r="DB15" s="228">
        <f t="shared" si="46"/>
        <v>92.5</v>
      </c>
      <c r="DC15" s="228">
        <f t="shared" si="47"/>
        <v>92.5</v>
      </c>
      <c r="DD15" s="182">
        <v>8</v>
      </c>
      <c r="DE15" s="174">
        <v>2.5</v>
      </c>
      <c r="DF15" s="228">
        <f t="shared" si="48"/>
        <v>95</v>
      </c>
      <c r="DG15" s="228">
        <f t="shared" si="49"/>
        <v>87</v>
      </c>
      <c r="DH15" s="182">
        <v>0</v>
      </c>
      <c r="DI15" s="174">
        <v>2.5</v>
      </c>
      <c r="DJ15" s="228">
        <f t="shared" si="50"/>
        <v>89.5</v>
      </c>
      <c r="DK15" s="228">
        <f t="shared" si="51"/>
        <v>89.5</v>
      </c>
      <c r="DL15" s="182">
        <v>0</v>
      </c>
      <c r="DM15" s="174">
        <v>2.5</v>
      </c>
      <c r="DN15" s="228">
        <f t="shared" si="52"/>
        <v>92</v>
      </c>
      <c r="DO15" s="228">
        <f t="shared" si="53"/>
        <v>92</v>
      </c>
    </row>
    <row r="16" ht="14.25" customHeight="1" hidden="1" spans="1:119" x14ac:dyDescent="0.25">
      <c r="A16" s="184" t="s">
        <v>911</v>
      </c>
      <c r="B16" s="185" t="s">
        <v>869</v>
      </c>
      <c r="C16" s="186" t="s">
        <v>912</v>
      </c>
      <c r="D16" s="234" t="s">
        <v>913</v>
      </c>
      <c r="E16" s="234" t="s">
        <v>470</v>
      </c>
      <c r="F16" s="235" t="s">
        <v>1300</v>
      </c>
      <c r="G16" s="188">
        <v>43862</v>
      </c>
      <c r="H16" s="235"/>
      <c r="I16" s="235"/>
      <c r="J16" s="235">
        <v>88</v>
      </c>
      <c r="K16" s="235"/>
      <c r="L16" s="235">
        <f t="shared" si="54"/>
        <v>90.5</v>
      </c>
      <c r="M16" s="235"/>
      <c r="N16" s="235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869</v>
      </c>
      <c r="C17" s="186" t="s">
        <v>915</v>
      </c>
      <c r="D17" s="234" t="s">
        <v>916</v>
      </c>
      <c r="E17" s="234" t="s">
        <v>917</v>
      </c>
      <c r="F17" s="235" t="s">
        <v>1300</v>
      </c>
      <c r="G17" s="188">
        <v>44417</v>
      </c>
      <c r="H17" s="235"/>
      <c r="I17" s="235"/>
      <c r="J17" s="235">
        <v>37.5</v>
      </c>
      <c r="K17" s="235">
        <v>1</v>
      </c>
      <c r="L17" s="235">
        <f t="shared" si="54"/>
        <v>39</v>
      </c>
      <c r="M17" s="235"/>
      <c r="N17" s="235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918</v>
      </c>
      <c r="B18" s="185" t="s">
        <v>869</v>
      </c>
      <c r="C18" s="186" t="s">
        <v>919</v>
      </c>
      <c r="D18" s="234" t="s">
        <v>920</v>
      </c>
      <c r="E18" s="234" t="s">
        <v>921</v>
      </c>
      <c r="F18" s="235" t="s">
        <v>1300</v>
      </c>
      <c r="G18" s="188">
        <v>44562</v>
      </c>
      <c r="H18" s="235"/>
      <c r="I18" s="235"/>
      <c r="J18" s="235">
        <v>95</v>
      </c>
      <c r="K18" s="235">
        <v>1</v>
      </c>
      <c r="L18" s="235">
        <f t="shared" si="54"/>
        <v>96.5</v>
      </c>
      <c r="M18" s="235"/>
      <c r="N18" s="235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922</v>
      </c>
      <c r="B19" s="185" t="s">
        <v>869</v>
      </c>
      <c r="C19" s="186" t="s">
        <v>923</v>
      </c>
      <c r="D19" s="234" t="s">
        <v>924</v>
      </c>
      <c r="E19" s="234" t="s">
        <v>899</v>
      </c>
      <c r="F19" s="235" t="s">
        <v>1300</v>
      </c>
      <c r="G19" s="188">
        <v>44593</v>
      </c>
      <c r="H19" s="188"/>
      <c r="I19" s="188">
        <v>44957</v>
      </c>
      <c r="J19" s="235">
        <v>31</v>
      </c>
      <c r="K19" s="235"/>
      <c r="L19" s="235">
        <f t="shared" si="54"/>
        <v>33.5</v>
      </c>
      <c r="M19" s="235"/>
      <c r="N19" s="235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40" customFormat="1" x14ac:dyDescent="0.25">
      <c r="A20" s="241" t="s">
        <v>1310</v>
      </c>
      <c r="B20" s="242" t="s">
        <v>869</v>
      </c>
      <c r="C20" s="243" t="s">
        <v>1311</v>
      </c>
      <c r="D20" s="244" t="s">
        <v>1312</v>
      </c>
      <c r="E20" s="244" t="s">
        <v>470</v>
      </c>
      <c r="F20" s="245" t="s">
        <v>1300</v>
      </c>
      <c r="G20" s="246">
        <v>44805</v>
      </c>
      <c r="H20" s="246">
        <v>44895</v>
      </c>
      <c r="I20" s="246">
        <v>44985</v>
      </c>
      <c r="J20" s="245">
        <v>13.5</v>
      </c>
      <c r="K20" s="245"/>
      <c r="L20" s="245">
        <f t="shared" si="54"/>
        <v>16</v>
      </c>
      <c r="M20" s="245"/>
      <c r="N20" s="245">
        <f t="shared" si="55"/>
        <v>18.5</v>
      </c>
      <c r="O20" s="247"/>
      <c r="P20" s="248">
        <f t="shared" si="56"/>
        <v>21</v>
      </c>
      <c r="Q20" s="247"/>
      <c r="R20" s="248">
        <f t="shared" si="57"/>
        <v>23.5</v>
      </c>
      <c r="S20" s="247"/>
      <c r="T20" s="248">
        <f t="shared" si="58"/>
        <v>26</v>
      </c>
      <c r="U20" s="247"/>
      <c r="V20" s="248">
        <f t="shared" si="59"/>
        <v>28.5</v>
      </c>
      <c r="W20" s="247">
        <v>20</v>
      </c>
      <c r="X20" s="248">
        <f t="shared" si="60"/>
        <v>11</v>
      </c>
      <c r="Y20" s="247"/>
      <c r="Z20" s="248">
        <f t="shared" si="61"/>
        <v>13.5</v>
      </c>
      <c r="AA20" s="247"/>
      <c r="AB20" s="248">
        <f t="shared" si="62"/>
        <v>16</v>
      </c>
      <c r="AC20" s="247">
        <v>2</v>
      </c>
      <c r="AD20" s="248">
        <f t="shared" si="63"/>
        <v>16.5</v>
      </c>
      <c r="AE20" s="247"/>
      <c r="AF20" s="248">
        <f t="shared" si="64"/>
        <v>19</v>
      </c>
      <c r="AG20" s="247">
        <v>15</v>
      </c>
      <c r="AH20" s="248">
        <f t="shared" si="65"/>
        <v>6.5</v>
      </c>
      <c r="AI20" s="247">
        <v>4</v>
      </c>
      <c r="AJ20" s="248">
        <f t="shared" si="66"/>
        <v>5</v>
      </c>
      <c r="AK20" s="247">
        <v>32</v>
      </c>
      <c r="AL20" s="248">
        <f t="shared" si="67"/>
        <v>-24.5</v>
      </c>
      <c r="AM20" s="247"/>
      <c r="AN20" s="248">
        <f t="shared" si="68"/>
        <v>-22</v>
      </c>
      <c r="AO20" s="247"/>
      <c r="AP20" s="248">
        <f t="shared" si="69"/>
        <v>-19.5</v>
      </c>
      <c r="AQ20" s="247"/>
      <c r="AR20" s="248">
        <f t="shared" si="70"/>
        <v>-17</v>
      </c>
      <c r="AS20" s="247"/>
      <c r="AT20" s="248">
        <f t="shared" si="71"/>
        <v>-14.5</v>
      </c>
      <c r="AU20" s="247"/>
      <c r="AV20" s="248">
        <f t="shared" si="72"/>
        <v>-12</v>
      </c>
      <c r="AW20" s="247">
        <v>7</v>
      </c>
      <c r="AX20" s="248">
        <f t="shared" si="73"/>
        <v>-16.5</v>
      </c>
      <c r="AY20" s="247"/>
      <c r="AZ20" s="248">
        <f t="shared" si="74"/>
        <v>-14</v>
      </c>
      <c r="BA20" s="247"/>
      <c r="BB20" s="248">
        <f t="shared" si="75"/>
        <v>-11.5</v>
      </c>
      <c r="BC20" s="247"/>
      <c r="BD20" s="248">
        <f t="shared" si="82"/>
        <v>-9</v>
      </c>
      <c r="BE20" s="247"/>
      <c r="BF20" s="248">
        <f t="shared" si="83"/>
        <v>-6.5</v>
      </c>
      <c r="BG20" s="247"/>
      <c r="BH20" s="248">
        <f t="shared" si="78"/>
        <v>-4</v>
      </c>
      <c r="BI20" s="247"/>
      <c r="BJ20" s="248">
        <f t="shared" si="79"/>
        <v>-1.5</v>
      </c>
      <c r="BK20" s="247"/>
      <c r="BL20" s="248">
        <f t="shared" si="80"/>
        <v>1</v>
      </c>
      <c r="BM20" s="247"/>
      <c r="BN20" s="248">
        <f t="shared" si="27"/>
        <v>3.5</v>
      </c>
      <c r="BO20" s="247"/>
      <c r="BP20" s="248">
        <f t="shared" si="28"/>
        <v>6</v>
      </c>
      <c r="BQ20" s="247"/>
      <c r="BR20" s="248">
        <f t="shared" si="29"/>
        <v>8.5</v>
      </c>
      <c r="BS20" s="247"/>
      <c r="BT20" s="248">
        <f t="shared" si="30"/>
        <v>11</v>
      </c>
      <c r="BU20" s="247"/>
      <c r="BV20" s="248">
        <f t="shared" si="81"/>
        <v>13.5</v>
      </c>
      <c r="BW20" s="247"/>
      <c r="BX20" s="248">
        <f t="shared" si="32"/>
        <v>16</v>
      </c>
      <c r="BY20" s="247"/>
      <c r="BZ20" s="249">
        <f t="shared" si="33"/>
        <v>18.5</v>
      </c>
      <c r="CA20" s="247"/>
      <c r="CB20" s="249">
        <f t="shared" si="34"/>
        <v>21</v>
      </c>
      <c r="CC20" s="249"/>
      <c r="CD20" s="249">
        <f t="shared" si="35"/>
        <v>23.5</v>
      </c>
      <c r="CE20" s="250"/>
      <c r="CF20" s="251"/>
      <c r="CG20" s="251">
        <v>2.5</v>
      </c>
      <c r="CH20" s="250">
        <f t="shared" si="36"/>
        <v>26</v>
      </c>
      <c r="CI20" s="250">
        <f t="shared" si="37"/>
        <v>26</v>
      </c>
      <c r="CJ20" s="251"/>
      <c r="CK20" s="251">
        <v>2.5</v>
      </c>
      <c r="CL20" s="250">
        <f t="shared" si="38"/>
        <v>28.5</v>
      </c>
      <c r="CM20" s="250">
        <f t="shared" si="39"/>
        <v>28.5</v>
      </c>
      <c r="CN20" s="252">
        <v>0</v>
      </c>
      <c r="CO20" s="251">
        <v>2.5</v>
      </c>
      <c r="CP20" s="250">
        <f t="shared" si="40"/>
        <v>31</v>
      </c>
      <c r="CQ20" s="198">
        <f t="shared" si="41"/>
        <v>31</v>
      </c>
      <c r="CR20" s="253">
        <v>0</v>
      </c>
      <c r="CS20" s="251">
        <v>2.5</v>
      </c>
      <c r="CT20" s="250">
        <f t="shared" si="42"/>
        <v>33.5</v>
      </c>
      <c r="CU20" s="254">
        <f t="shared" si="43"/>
        <v>33.5</v>
      </c>
      <c r="CV20" s="253">
        <v>0</v>
      </c>
      <c r="CW20" s="251">
        <v>2.5</v>
      </c>
      <c r="CX20" s="250">
        <f t="shared" si="44"/>
        <v>36</v>
      </c>
      <c r="CY20" s="250">
        <f t="shared" si="45"/>
        <v>36</v>
      </c>
      <c r="CZ20" s="253">
        <v>0</v>
      </c>
      <c r="DA20" s="251">
        <v>2.5</v>
      </c>
      <c r="DB20" s="250">
        <f t="shared" si="46"/>
        <v>38.5</v>
      </c>
      <c r="DC20" s="250">
        <f t="shared" si="47"/>
        <v>38.5</v>
      </c>
      <c r="DD20" s="182">
        <v>0</v>
      </c>
      <c r="DE20" s="174">
        <v>2.5</v>
      </c>
      <c r="DF20" s="250">
        <f t="shared" si="48"/>
        <v>41</v>
      </c>
      <c r="DG20" s="250">
        <f t="shared" si="49"/>
        <v>41</v>
      </c>
      <c r="DH20" s="182">
        <v>0</v>
      </c>
      <c r="DI20" s="174">
        <v>2.5</v>
      </c>
      <c r="DJ20" s="250">
        <f t="shared" si="50"/>
        <v>43.5</v>
      </c>
      <c r="DK20" s="250">
        <f t="shared" si="51"/>
        <v>43.5</v>
      </c>
      <c r="DL20" s="182">
        <v>0</v>
      </c>
      <c r="DM20" s="174">
        <v>2.5</v>
      </c>
      <c r="DN20" s="250">
        <f t="shared" si="52"/>
        <v>46</v>
      </c>
      <c r="DO20" s="250">
        <f t="shared" si="53"/>
        <v>46</v>
      </c>
    </row>
    <row r="21" ht="14.25" customHeight="1" spans="1:119" s="52" customFormat="1" x14ac:dyDescent="0.25">
      <c r="A21" s="217" t="s">
        <v>925</v>
      </c>
      <c r="B21" s="218" t="s">
        <v>869</v>
      </c>
      <c r="C21" s="219" t="s">
        <v>1313</v>
      </c>
      <c r="D21" s="238" t="s">
        <v>1314</v>
      </c>
      <c r="E21" s="238" t="s">
        <v>899</v>
      </c>
      <c r="F21" s="239" t="s">
        <v>1300</v>
      </c>
      <c r="G21" s="221">
        <v>44805</v>
      </c>
      <c r="H21" s="221"/>
      <c r="I21" s="221"/>
      <c r="J21" s="239"/>
      <c r="K21" s="239"/>
      <c r="L21" s="239"/>
      <c r="M21" s="239"/>
      <c r="N21" s="239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>
        <v>4</v>
      </c>
      <c r="BE21" s="230">
        <v>3</v>
      </c>
      <c r="BF21" s="230">
        <f t="shared" si="83"/>
        <v>3.5</v>
      </c>
      <c r="BG21" s="230"/>
      <c r="BH21" s="230">
        <f t="shared" si="78"/>
        <v>6</v>
      </c>
      <c r="BI21" s="230"/>
      <c r="BJ21" s="230">
        <f t="shared" si="79"/>
        <v>8.5</v>
      </c>
      <c r="BK21" s="230"/>
      <c r="BL21" s="230">
        <f t="shared" si="80"/>
        <v>11</v>
      </c>
      <c r="BM21" s="230">
        <v>10</v>
      </c>
      <c r="BN21" s="230">
        <f t="shared" si="27"/>
        <v>3.5</v>
      </c>
      <c r="BO21" s="230">
        <v>7</v>
      </c>
      <c r="BP21" s="230">
        <f t="shared" si="28"/>
        <v>-1</v>
      </c>
      <c r="BQ21" s="230"/>
      <c r="BR21" s="230">
        <f t="shared" si="29"/>
        <v>1.5</v>
      </c>
      <c r="BS21" s="230"/>
      <c r="BT21" s="230">
        <f t="shared" si="30"/>
        <v>4</v>
      </c>
      <c r="BU21" s="230"/>
      <c r="BV21" s="230">
        <f t="shared" si="81"/>
        <v>6.5</v>
      </c>
      <c r="BW21" s="230"/>
      <c r="BX21" s="230">
        <f t="shared" si="32"/>
        <v>9</v>
      </c>
      <c r="BY21" s="230"/>
      <c r="BZ21" s="231">
        <f t="shared" si="33"/>
        <v>11.5</v>
      </c>
      <c r="CA21" s="230"/>
      <c r="CB21" s="231">
        <f t="shared" si="34"/>
        <v>14</v>
      </c>
      <c r="CC21" s="231"/>
      <c r="CD21" s="231">
        <f t="shared" si="35"/>
        <v>16.5</v>
      </c>
      <c r="CE21" s="228"/>
      <c r="CF21" s="59"/>
      <c r="CG21" s="59">
        <v>2.5</v>
      </c>
      <c r="CH21" s="228">
        <f t="shared" si="36"/>
        <v>19</v>
      </c>
      <c r="CI21" s="228">
        <f t="shared" si="37"/>
        <v>19</v>
      </c>
      <c r="CJ21" s="59"/>
      <c r="CK21" s="59">
        <v>2.5</v>
      </c>
      <c r="CL21" s="228">
        <f t="shared" si="38"/>
        <v>21.5</v>
      </c>
      <c r="CM21" s="228">
        <f t="shared" si="39"/>
        <v>21.5</v>
      </c>
      <c r="CN21" s="225">
        <v>0</v>
      </c>
      <c r="CO21" s="59">
        <v>2.5</v>
      </c>
      <c r="CP21" s="228">
        <f t="shared" si="40"/>
        <v>24</v>
      </c>
      <c r="CQ21" s="228">
        <f t="shared" si="41"/>
        <v>24</v>
      </c>
      <c r="CR21" s="232">
        <v>0</v>
      </c>
      <c r="CS21" s="59">
        <v>2.5</v>
      </c>
      <c r="CT21" s="228">
        <f t="shared" si="42"/>
        <v>26.5</v>
      </c>
      <c r="CU21" s="233">
        <f t="shared" si="43"/>
        <v>26.5</v>
      </c>
      <c r="CV21" s="232">
        <v>0</v>
      </c>
      <c r="CW21" s="59">
        <v>2.5</v>
      </c>
      <c r="CX21" s="228">
        <f t="shared" si="44"/>
        <v>29</v>
      </c>
      <c r="CY21" s="228">
        <f t="shared" si="45"/>
        <v>29</v>
      </c>
      <c r="CZ21" s="232">
        <v>0</v>
      </c>
      <c r="DA21" s="59">
        <v>2.5</v>
      </c>
      <c r="DB21" s="228">
        <f t="shared" si="46"/>
        <v>31.5</v>
      </c>
      <c r="DC21" s="228">
        <f t="shared" si="47"/>
        <v>31.5</v>
      </c>
      <c r="DD21" s="232">
        <v>15</v>
      </c>
      <c r="DE21" s="59">
        <v>2.5</v>
      </c>
      <c r="DF21" s="228">
        <f t="shared" si="48"/>
        <v>34</v>
      </c>
      <c r="DG21" s="228">
        <f t="shared" si="49"/>
        <v>19</v>
      </c>
      <c r="DH21" s="232">
        <v>0</v>
      </c>
      <c r="DI21" s="59">
        <v>2.5</v>
      </c>
      <c r="DJ21" s="228">
        <f t="shared" si="50"/>
        <v>21.5</v>
      </c>
      <c r="DK21" s="228">
        <f t="shared" si="51"/>
        <v>21.5</v>
      </c>
      <c r="DL21" s="232">
        <v>0</v>
      </c>
      <c r="DM21" s="59">
        <v>2.5</v>
      </c>
      <c r="DN21" s="228">
        <f t="shared" si="52"/>
        <v>24</v>
      </c>
      <c r="DO21" s="228">
        <f t="shared" si="53"/>
        <v>24</v>
      </c>
    </row>
    <row r="22" ht="14.25" customHeight="1" hidden="1" spans="1:119" s="240" customFormat="1" x14ac:dyDescent="0.25">
      <c r="A22" s="241" t="s">
        <v>929</v>
      </c>
      <c r="B22" s="242" t="s">
        <v>869</v>
      </c>
      <c r="C22" s="243" t="s">
        <v>1315</v>
      </c>
      <c r="D22" s="244" t="s">
        <v>931</v>
      </c>
      <c r="E22" s="244" t="s">
        <v>466</v>
      </c>
      <c r="F22" s="245" t="s">
        <v>1300</v>
      </c>
      <c r="G22" s="246">
        <v>44911</v>
      </c>
      <c r="H22" s="246">
        <v>45088</v>
      </c>
      <c r="I22" s="246">
        <v>45275</v>
      </c>
      <c r="J22" s="245">
        <v>7.5</v>
      </c>
      <c r="K22" s="245"/>
      <c r="L22" s="245">
        <f t="shared" ref="L22:L25" si="84">J22-K22+2.5</f>
        <v>10</v>
      </c>
      <c r="M22" s="245"/>
      <c r="N22" s="245">
        <f t="shared" ref="N22:N25" si="85">L22-M22+2.5</f>
        <v>12.5</v>
      </c>
      <c r="O22" s="247"/>
      <c r="P22" s="248">
        <f t="shared" ref="P22:P28" si="86">N22-O22+2.5</f>
        <v>15</v>
      </c>
      <c r="Q22" s="247"/>
      <c r="R22" s="248">
        <f t="shared" ref="R22:R28" si="87">P22-Q22+2.5</f>
        <v>17.5</v>
      </c>
      <c r="S22" s="247"/>
      <c r="T22" s="248">
        <f t="shared" ref="T22:T28" si="88">R22-S22+2.5</f>
        <v>20</v>
      </c>
      <c r="U22" s="247"/>
      <c r="V22" s="248">
        <f t="shared" ref="V22:V28" si="89">T22-U22+2.5</f>
        <v>22.5</v>
      </c>
      <c r="W22" s="247"/>
      <c r="X22" s="248">
        <f t="shared" ref="X22:X28" si="90">V22-W22+2.5</f>
        <v>25</v>
      </c>
      <c r="Y22" s="247"/>
      <c r="Z22" s="248">
        <f t="shared" ref="Z22:Z28" si="91">(X22-Y22)+2.5</f>
        <v>27.5</v>
      </c>
      <c r="AA22" s="247"/>
      <c r="AB22" s="248">
        <f t="shared" ref="AB22:AB28" si="92">(Z22-AA22)+2.5</f>
        <v>30</v>
      </c>
      <c r="AC22" s="247">
        <v>12</v>
      </c>
      <c r="AD22" s="248">
        <f t="shared" ref="AD22:AD28" si="93">(AB22-AC22)+2.5</f>
        <v>20.5</v>
      </c>
      <c r="AE22" s="247"/>
      <c r="AF22" s="248">
        <f t="shared" ref="AF22:AF30" si="94">(AD22-AE22)+2.5</f>
        <v>23</v>
      </c>
      <c r="AG22" s="247"/>
      <c r="AH22" s="248">
        <f t="shared" ref="AH22:AH30" si="95">(AF22-AG22)+2.5</f>
        <v>25.5</v>
      </c>
      <c r="AI22" s="247"/>
      <c r="AJ22" s="248">
        <f t="shared" ref="AJ22:AJ43" si="96">(AH22-AI22)+2.5</f>
        <v>28</v>
      </c>
      <c r="AK22" s="247"/>
      <c r="AL22" s="248">
        <f t="shared" ref="AL22:AL44" si="97">(AJ22-AK22)+2.5</f>
        <v>30.5</v>
      </c>
      <c r="AM22" s="247">
        <v>4</v>
      </c>
      <c r="AN22" s="248">
        <f t="shared" ref="AN22:AN44" si="98">(AL22-AM22)+2.5</f>
        <v>29</v>
      </c>
      <c r="AO22" s="247"/>
      <c r="AP22" s="248">
        <f t="shared" ref="AP22:AP44" si="99">(AN22-AO22)+2.5</f>
        <v>31.5</v>
      </c>
      <c r="AQ22" s="247">
        <v>4</v>
      </c>
      <c r="AR22" s="248">
        <f t="shared" ref="AR22:AR45" si="100">(AP22-AQ22)+2.5</f>
        <v>30</v>
      </c>
      <c r="AS22" s="247"/>
      <c r="AT22" s="248">
        <f t="shared" ref="AT22:AT48" si="101">(AR22-AS22)+2.5</f>
        <v>32.5</v>
      </c>
      <c r="AU22" s="247"/>
      <c r="AV22" s="248">
        <f t="shared" ref="AV22:AV49" si="102">(AT22-AU22)+2.5</f>
        <v>35</v>
      </c>
      <c r="AW22" s="247"/>
      <c r="AX22" s="248">
        <f t="shared" ref="AX22:AX49" si="103">(AV22-AW22)+2.5</f>
        <v>37.5</v>
      </c>
      <c r="AY22" s="247"/>
      <c r="AZ22" s="248">
        <f t="shared" ref="AZ22:AZ49" si="104">(AX22-AY22)+2.5</f>
        <v>40</v>
      </c>
      <c r="BA22" s="247">
        <v>14</v>
      </c>
      <c r="BB22" s="248">
        <f t="shared" ref="BB22:BB34" si="105">(AZ22-BA22)+2.5</f>
        <v>28.5</v>
      </c>
      <c r="BC22" s="247">
        <v>9</v>
      </c>
      <c r="BD22" s="248">
        <f t="shared" ref="BD22:BD50" si="106">(BB22-BC22)+2.5</f>
        <v>22</v>
      </c>
      <c r="BE22" s="247"/>
      <c r="BF22" s="248">
        <f t="shared" si="83"/>
        <v>24.5</v>
      </c>
      <c r="BG22" s="247"/>
      <c r="BH22" s="248">
        <f t="shared" si="78"/>
        <v>27</v>
      </c>
      <c r="BI22" s="247"/>
      <c r="BJ22" s="248">
        <f t="shared" si="79"/>
        <v>29.5</v>
      </c>
      <c r="BK22" s="247"/>
      <c r="BL22" s="248">
        <f t="shared" si="80"/>
        <v>32</v>
      </c>
      <c r="BM22" s="247">
        <v>1</v>
      </c>
      <c r="BN22" s="248">
        <f t="shared" si="27"/>
        <v>33.5</v>
      </c>
      <c r="BO22" s="247"/>
      <c r="BP22" s="248">
        <f t="shared" si="28"/>
        <v>36</v>
      </c>
      <c r="BQ22" s="247"/>
      <c r="BR22" s="248">
        <f t="shared" si="29"/>
        <v>38.5</v>
      </c>
      <c r="BS22" s="247"/>
      <c r="BT22" s="248">
        <f t="shared" si="30"/>
        <v>41</v>
      </c>
      <c r="BU22" s="247"/>
      <c r="BV22" s="248">
        <f t="shared" si="81"/>
        <v>43.5</v>
      </c>
      <c r="BW22" s="247">
        <v>2</v>
      </c>
      <c r="BX22" s="248">
        <f t="shared" si="32"/>
        <v>44</v>
      </c>
      <c r="BY22" s="247"/>
      <c r="BZ22" s="249">
        <f t="shared" si="33"/>
        <v>46.5</v>
      </c>
      <c r="CA22" s="247">
        <v>7</v>
      </c>
      <c r="CB22" s="249">
        <f t="shared" si="34"/>
        <v>42</v>
      </c>
      <c r="CC22" s="249">
        <v>39</v>
      </c>
      <c r="CD22" s="249">
        <f t="shared" si="35"/>
        <v>5.5</v>
      </c>
      <c r="CE22" s="250" t="s">
        <v>1316</v>
      </c>
      <c r="CF22" s="251"/>
      <c r="CG22" s="251">
        <v>2.5</v>
      </c>
      <c r="CH22" s="250">
        <f t="shared" si="36"/>
        <v>8</v>
      </c>
      <c r="CI22" s="250">
        <f t="shared" si="37"/>
        <v>8</v>
      </c>
      <c r="CJ22" s="251"/>
      <c r="CK22" s="251">
        <v>2.5</v>
      </c>
      <c r="CL22" s="250">
        <f t="shared" si="38"/>
        <v>10.5</v>
      </c>
      <c r="CM22" s="250">
        <f t="shared" si="39"/>
        <v>10.5</v>
      </c>
      <c r="CN22" s="252">
        <v>0</v>
      </c>
      <c r="CO22" s="251">
        <v>2.5</v>
      </c>
      <c r="CP22" s="250">
        <f t="shared" si="40"/>
        <v>13</v>
      </c>
      <c r="CQ22" s="198">
        <f t="shared" si="41"/>
        <v>13</v>
      </c>
      <c r="CR22" s="253">
        <v>0</v>
      </c>
      <c r="CS22" s="251">
        <v>2.5</v>
      </c>
      <c r="CT22" s="250">
        <f t="shared" si="42"/>
        <v>15.5</v>
      </c>
      <c r="CU22" s="254">
        <f t="shared" si="43"/>
        <v>15.5</v>
      </c>
      <c r="CV22" s="253">
        <v>0</v>
      </c>
      <c r="CW22" s="251">
        <v>2.5</v>
      </c>
      <c r="CX22" s="250">
        <f t="shared" si="44"/>
        <v>18</v>
      </c>
      <c r="CY22" s="250">
        <f t="shared" si="45"/>
        <v>18</v>
      </c>
      <c r="CZ22" s="253">
        <v>0</v>
      </c>
      <c r="DA22" s="251">
        <v>2.5</v>
      </c>
      <c r="DB22" s="250">
        <f t="shared" si="46"/>
        <v>20.5</v>
      </c>
      <c r="DC22" s="250">
        <f t="shared" si="47"/>
        <v>20.5</v>
      </c>
      <c r="DD22" s="182">
        <v>0</v>
      </c>
      <c r="DE22" s="174">
        <v>2.5</v>
      </c>
      <c r="DF22" s="250">
        <f t="shared" si="48"/>
        <v>23</v>
      </c>
      <c r="DG22" s="250">
        <f t="shared" si="49"/>
        <v>23</v>
      </c>
      <c r="DH22" s="182">
        <v>0</v>
      </c>
      <c r="DI22" s="174">
        <v>2.5</v>
      </c>
      <c r="DJ22" s="250">
        <f t="shared" si="50"/>
        <v>25.5</v>
      </c>
      <c r="DK22" s="250">
        <f t="shared" si="51"/>
        <v>25.5</v>
      </c>
      <c r="DL22" s="182">
        <v>0</v>
      </c>
      <c r="DM22" s="174">
        <v>2.5</v>
      </c>
      <c r="DN22" s="250">
        <f t="shared" si="52"/>
        <v>28</v>
      </c>
      <c r="DO22" s="250">
        <f t="shared" si="53"/>
        <v>28</v>
      </c>
    </row>
    <row r="23" ht="14.25" customHeight="1" hidden="1" spans="1:119" s="240" customFormat="1" x14ac:dyDescent="0.25">
      <c r="A23" s="241" t="s">
        <v>932</v>
      </c>
      <c r="B23" s="242" t="s">
        <v>869</v>
      </c>
      <c r="C23" s="243" t="s">
        <v>1317</v>
      </c>
      <c r="D23" s="244" t="s">
        <v>1318</v>
      </c>
      <c r="E23" s="244" t="s">
        <v>466</v>
      </c>
      <c r="F23" s="245" t="s">
        <v>1300</v>
      </c>
      <c r="G23" s="246">
        <v>44914</v>
      </c>
      <c r="H23" s="246">
        <v>45095</v>
      </c>
      <c r="I23" s="246">
        <v>45278</v>
      </c>
      <c r="J23" s="245">
        <v>7.5</v>
      </c>
      <c r="K23" s="245"/>
      <c r="L23" s="245">
        <f t="shared" si="84"/>
        <v>10</v>
      </c>
      <c r="M23" s="245"/>
      <c r="N23" s="245">
        <f t="shared" si="85"/>
        <v>12.5</v>
      </c>
      <c r="O23" s="247"/>
      <c r="P23" s="248">
        <f t="shared" si="86"/>
        <v>15</v>
      </c>
      <c r="Q23" s="247"/>
      <c r="R23" s="248">
        <f t="shared" si="87"/>
        <v>17.5</v>
      </c>
      <c r="S23" s="247"/>
      <c r="T23" s="248">
        <f t="shared" si="88"/>
        <v>20</v>
      </c>
      <c r="U23" s="247"/>
      <c r="V23" s="248">
        <f t="shared" si="89"/>
        <v>22.5</v>
      </c>
      <c r="W23" s="247"/>
      <c r="X23" s="248">
        <f t="shared" si="90"/>
        <v>25</v>
      </c>
      <c r="Y23" s="247"/>
      <c r="Z23" s="248">
        <f t="shared" si="91"/>
        <v>27.5</v>
      </c>
      <c r="AA23" s="247"/>
      <c r="AB23" s="248">
        <f t="shared" si="92"/>
        <v>30</v>
      </c>
      <c r="AC23" s="247">
        <v>13</v>
      </c>
      <c r="AD23" s="248">
        <f t="shared" si="93"/>
        <v>19.5</v>
      </c>
      <c r="AE23" s="247"/>
      <c r="AF23" s="248">
        <f t="shared" si="94"/>
        <v>22</v>
      </c>
      <c r="AG23" s="247"/>
      <c r="AH23" s="248">
        <f t="shared" si="95"/>
        <v>24.5</v>
      </c>
      <c r="AI23" s="247"/>
      <c r="AJ23" s="248">
        <f t="shared" si="96"/>
        <v>27</v>
      </c>
      <c r="AK23" s="247"/>
      <c r="AL23" s="248">
        <f t="shared" si="97"/>
        <v>29.5</v>
      </c>
      <c r="AM23" s="247"/>
      <c r="AN23" s="248">
        <f t="shared" si="98"/>
        <v>32</v>
      </c>
      <c r="AO23" s="247"/>
      <c r="AP23" s="248">
        <f t="shared" si="99"/>
        <v>34.5</v>
      </c>
      <c r="AQ23" s="247"/>
      <c r="AR23" s="248">
        <f t="shared" si="100"/>
        <v>37</v>
      </c>
      <c r="AS23" s="247"/>
      <c r="AT23" s="248">
        <f t="shared" si="101"/>
        <v>39.5</v>
      </c>
      <c r="AU23" s="247"/>
      <c r="AV23" s="248">
        <f t="shared" si="102"/>
        <v>42</v>
      </c>
      <c r="AW23" s="247"/>
      <c r="AX23" s="248">
        <f t="shared" si="103"/>
        <v>44.5</v>
      </c>
      <c r="AY23" s="247"/>
      <c r="AZ23" s="248">
        <f t="shared" si="104"/>
        <v>47</v>
      </c>
      <c r="BA23" s="247">
        <v>11</v>
      </c>
      <c r="BB23" s="248">
        <f t="shared" si="105"/>
        <v>38.5</v>
      </c>
      <c r="BC23" s="247">
        <v>13</v>
      </c>
      <c r="BD23" s="248">
        <f t="shared" si="106"/>
        <v>28</v>
      </c>
      <c r="BE23" s="247"/>
      <c r="BF23" s="248">
        <f t="shared" si="83"/>
        <v>30.5</v>
      </c>
      <c r="BG23" s="247"/>
      <c r="BH23" s="248">
        <f t="shared" si="78"/>
        <v>33</v>
      </c>
      <c r="BI23" s="247"/>
      <c r="BJ23" s="248">
        <f t="shared" si="79"/>
        <v>35.5</v>
      </c>
      <c r="BK23" s="247"/>
      <c r="BL23" s="248">
        <f t="shared" si="80"/>
        <v>38</v>
      </c>
      <c r="BM23" s="247"/>
      <c r="BN23" s="248">
        <f t="shared" si="27"/>
        <v>40.5</v>
      </c>
      <c r="BO23" s="247"/>
      <c r="BP23" s="248">
        <f t="shared" si="28"/>
        <v>43</v>
      </c>
      <c r="BQ23" s="247"/>
      <c r="BR23" s="248">
        <f t="shared" si="29"/>
        <v>45.5</v>
      </c>
      <c r="BS23" s="247">
        <v>3</v>
      </c>
      <c r="BT23" s="248">
        <f t="shared" si="30"/>
        <v>45</v>
      </c>
      <c r="BU23" s="247"/>
      <c r="BV23" s="248">
        <f t="shared" si="81"/>
        <v>47.5</v>
      </c>
      <c r="BW23" s="247"/>
      <c r="BX23" s="248">
        <f t="shared" si="32"/>
        <v>50</v>
      </c>
      <c r="BY23" s="247"/>
      <c r="BZ23" s="249">
        <f t="shared" si="33"/>
        <v>52.5</v>
      </c>
      <c r="CA23" s="247">
        <v>2</v>
      </c>
      <c r="CB23" s="249">
        <f t="shared" si="34"/>
        <v>53</v>
      </c>
      <c r="CC23" s="249"/>
      <c r="CD23" s="249">
        <f t="shared" si="35"/>
        <v>55.5</v>
      </c>
      <c r="CE23" s="250" t="s">
        <v>1316</v>
      </c>
      <c r="CF23" s="251"/>
      <c r="CG23" s="251">
        <v>2.5</v>
      </c>
      <c r="CH23" s="250">
        <f t="shared" si="36"/>
        <v>58</v>
      </c>
      <c r="CI23" s="250">
        <f t="shared" si="37"/>
        <v>58</v>
      </c>
      <c r="CJ23" s="251"/>
      <c r="CK23" s="251">
        <v>2.5</v>
      </c>
      <c r="CL23" s="250">
        <f t="shared" si="38"/>
        <v>60.5</v>
      </c>
      <c r="CM23" s="250">
        <f t="shared" si="39"/>
        <v>60.5</v>
      </c>
      <c r="CN23" s="252">
        <v>0</v>
      </c>
      <c r="CO23" s="251">
        <v>2.5</v>
      </c>
      <c r="CP23" s="250">
        <f t="shared" si="40"/>
        <v>63</v>
      </c>
      <c r="CQ23" s="198">
        <f t="shared" si="41"/>
        <v>63</v>
      </c>
      <c r="CR23" s="253">
        <v>0</v>
      </c>
      <c r="CS23" s="251">
        <v>2.5</v>
      </c>
      <c r="CT23" s="250">
        <f t="shared" si="42"/>
        <v>65.5</v>
      </c>
      <c r="CU23" s="254">
        <f t="shared" si="43"/>
        <v>65.5</v>
      </c>
      <c r="CV23" s="253">
        <v>0</v>
      </c>
      <c r="CW23" s="251">
        <v>2.5</v>
      </c>
      <c r="CX23" s="250">
        <f t="shared" si="44"/>
        <v>68</v>
      </c>
      <c r="CY23" s="250">
        <f t="shared" si="45"/>
        <v>68</v>
      </c>
      <c r="CZ23" s="253">
        <v>0</v>
      </c>
      <c r="DA23" s="251">
        <v>2.5</v>
      </c>
      <c r="DB23" s="250">
        <f t="shared" si="46"/>
        <v>70.5</v>
      </c>
      <c r="DC23" s="250">
        <f t="shared" si="47"/>
        <v>70.5</v>
      </c>
      <c r="DD23" s="182">
        <v>0</v>
      </c>
      <c r="DE23" s="174">
        <v>2.5</v>
      </c>
      <c r="DF23" s="250">
        <f t="shared" si="48"/>
        <v>73</v>
      </c>
      <c r="DG23" s="250">
        <f t="shared" si="49"/>
        <v>73</v>
      </c>
      <c r="DH23" s="182">
        <v>0</v>
      </c>
      <c r="DI23" s="174">
        <v>2.5</v>
      </c>
      <c r="DJ23" s="250">
        <f t="shared" si="50"/>
        <v>75.5</v>
      </c>
      <c r="DK23" s="250">
        <f t="shared" si="51"/>
        <v>75.5</v>
      </c>
      <c r="DL23" s="182">
        <v>0</v>
      </c>
      <c r="DM23" s="174">
        <v>2.5</v>
      </c>
      <c r="DN23" s="250">
        <f t="shared" si="52"/>
        <v>78</v>
      </c>
      <c r="DO23" s="250">
        <f t="shared" si="53"/>
        <v>78</v>
      </c>
    </row>
    <row r="24" ht="14.25" customHeight="1" spans="1:119" s="105" customFormat="1" x14ac:dyDescent="0.25">
      <c r="A24" s="255" t="s">
        <v>716</v>
      </c>
      <c r="B24" s="256" t="s">
        <v>869</v>
      </c>
      <c r="C24" s="257" t="s">
        <v>1319</v>
      </c>
      <c r="D24" s="258" t="s">
        <v>1320</v>
      </c>
      <c r="E24" s="258" t="s">
        <v>470</v>
      </c>
      <c r="F24" s="259" t="s">
        <v>1300</v>
      </c>
      <c r="G24" s="260">
        <v>44972</v>
      </c>
      <c r="H24" s="260">
        <v>45152</v>
      </c>
      <c r="I24" s="260">
        <v>45152</v>
      </c>
      <c r="J24" s="259">
        <v>4</v>
      </c>
      <c r="K24" s="259"/>
      <c r="L24" s="259">
        <f t="shared" si="84"/>
        <v>6.5</v>
      </c>
      <c r="M24" s="259"/>
      <c r="N24" s="259">
        <f t="shared" si="85"/>
        <v>9</v>
      </c>
      <c r="O24" s="261"/>
      <c r="P24" s="262">
        <f t="shared" si="86"/>
        <v>11.5</v>
      </c>
      <c r="Q24" s="261"/>
      <c r="R24" s="262">
        <f t="shared" si="87"/>
        <v>14</v>
      </c>
      <c r="S24" s="261"/>
      <c r="T24" s="262">
        <f t="shared" si="88"/>
        <v>16.5</v>
      </c>
      <c r="U24" s="261"/>
      <c r="V24" s="262">
        <f t="shared" si="89"/>
        <v>19</v>
      </c>
      <c r="W24" s="261"/>
      <c r="X24" s="262">
        <f t="shared" si="90"/>
        <v>21.5</v>
      </c>
      <c r="Y24" s="261"/>
      <c r="Z24" s="262">
        <f t="shared" si="91"/>
        <v>24</v>
      </c>
      <c r="AA24" s="261"/>
      <c r="AB24" s="262">
        <f t="shared" si="92"/>
        <v>26.5</v>
      </c>
      <c r="AC24" s="261">
        <v>1</v>
      </c>
      <c r="AD24" s="262">
        <f t="shared" si="93"/>
        <v>28</v>
      </c>
      <c r="AE24" s="261">
        <v>13</v>
      </c>
      <c r="AF24" s="262">
        <f t="shared" si="94"/>
        <v>17.5</v>
      </c>
      <c r="AG24" s="261"/>
      <c r="AH24" s="262">
        <f t="shared" si="95"/>
        <v>20</v>
      </c>
      <c r="AI24" s="261"/>
      <c r="AJ24" s="262">
        <f t="shared" si="96"/>
        <v>22.5</v>
      </c>
      <c r="AK24" s="261"/>
      <c r="AL24" s="262">
        <f t="shared" si="97"/>
        <v>25</v>
      </c>
      <c r="AM24" s="261"/>
      <c r="AN24" s="262">
        <f t="shared" si="98"/>
        <v>27.5</v>
      </c>
      <c r="AO24" s="261"/>
      <c r="AP24" s="262">
        <f t="shared" si="99"/>
        <v>30</v>
      </c>
      <c r="AQ24" s="261"/>
      <c r="AR24" s="262">
        <f t="shared" si="100"/>
        <v>32.5</v>
      </c>
      <c r="AS24" s="261"/>
      <c r="AT24" s="262">
        <f t="shared" si="101"/>
        <v>35</v>
      </c>
      <c r="AU24" s="261"/>
      <c r="AV24" s="262">
        <f t="shared" si="102"/>
        <v>37.5</v>
      </c>
      <c r="AW24" s="261"/>
      <c r="AX24" s="262">
        <f t="shared" si="103"/>
        <v>40</v>
      </c>
      <c r="AY24" s="261"/>
      <c r="AZ24" s="262">
        <f t="shared" si="104"/>
        <v>42.5</v>
      </c>
      <c r="BA24" s="261">
        <v>15</v>
      </c>
      <c r="BB24" s="262">
        <f t="shared" si="105"/>
        <v>30</v>
      </c>
      <c r="BC24" s="261"/>
      <c r="BD24" s="262">
        <f t="shared" si="106"/>
        <v>32.5</v>
      </c>
      <c r="BE24" s="261"/>
      <c r="BF24" s="262">
        <f t="shared" si="83"/>
        <v>35</v>
      </c>
      <c r="BG24" s="261"/>
      <c r="BH24" s="262">
        <f t="shared" si="78"/>
        <v>37.5</v>
      </c>
      <c r="BI24" s="261"/>
      <c r="BJ24" s="262">
        <f t="shared" si="79"/>
        <v>40</v>
      </c>
      <c r="BK24" s="261"/>
      <c r="BL24" s="262">
        <f t="shared" si="80"/>
        <v>42.5</v>
      </c>
      <c r="BM24" s="261">
        <v>20</v>
      </c>
      <c r="BN24" s="262">
        <f t="shared" si="27"/>
        <v>25</v>
      </c>
      <c r="BO24" s="261"/>
      <c r="BP24" s="262">
        <f t="shared" si="28"/>
        <v>27.5</v>
      </c>
      <c r="BQ24" s="261"/>
      <c r="BR24" s="262">
        <f t="shared" si="29"/>
        <v>30</v>
      </c>
      <c r="BS24" s="261"/>
      <c r="BT24" s="262">
        <f t="shared" si="30"/>
        <v>32.5</v>
      </c>
      <c r="BU24" s="261"/>
      <c r="BV24" s="262">
        <f t="shared" si="81"/>
        <v>35</v>
      </c>
      <c r="BW24" s="261"/>
      <c r="BX24" s="262">
        <f t="shared" si="32"/>
        <v>37.5</v>
      </c>
      <c r="BY24" s="261"/>
      <c r="BZ24" s="263">
        <f t="shared" si="33"/>
        <v>40</v>
      </c>
      <c r="CA24" s="261"/>
      <c r="CB24" s="263">
        <f t="shared" si="34"/>
        <v>42.5</v>
      </c>
      <c r="CC24" s="263"/>
      <c r="CD24" s="263">
        <f t="shared" si="35"/>
        <v>45</v>
      </c>
      <c r="CE24" s="264"/>
      <c r="CF24" s="265">
        <v>5</v>
      </c>
      <c r="CG24" s="265">
        <v>2.5</v>
      </c>
      <c r="CH24" s="264">
        <f t="shared" si="36"/>
        <v>47.5</v>
      </c>
      <c r="CI24" s="264">
        <f t="shared" si="37"/>
        <v>42.5</v>
      </c>
      <c r="CJ24" s="265">
        <v>11</v>
      </c>
      <c r="CK24" s="265">
        <v>2.5</v>
      </c>
      <c r="CL24" s="264">
        <f t="shared" si="38"/>
        <v>45</v>
      </c>
      <c r="CM24" s="264">
        <f t="shared" si="39"/>
        <v>34</v>
      </c>
      <c r="CN24" s="266">
        <v>0</v>
      </c>
      <c r="CO24" s="265">
        <v>2.5</v>
      </c>
      <c r="CP24" s="264">
        <f t="shared" si="40"/>
        <v>36.5</v>
      </c>
      <c r="CQ24" s="198">
        <f t="shared" si="41"/>
        <v>36.5</v>
      </c>
      <c r="CR24" s="199">
        <v>0</v>
      </c>
      <c r="CS24" s="265">
        <v>2.5</v>
      </c>
      <c r="CT24" s="264">
        <f t="shared" si="42"/>
        <v>39</v>
      </c>
      <c r="CU24" s="267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64">
        <f t="shared" si="45"/>
        <v>41.5</v>
      </c>
      <c r="CZ24" s="199">
        <v>0</v>
      </c>
      <c r="DA24" s="39">
        <v>2.5</v>
      </c>
      <c r="DB24" s="264">
        <f t="shared" si="46"/>
        <v>44</v>
      </c>
      <c r="DC24" s="264">
        <f t="shared" si="47"/>
        <v>44</v>
      </c>
      <c r="DD24" s="182">
        <v>0</v>
      </c>
      <c r="DE24" s="174">
        <v>2.5</v>
      </c>
      <c r="DF24" s="264">
        <f t="shared" si="48"/>
        <v>46.5</v>
      </c>
      <c r="DG24" s="264">
        <f t="shared" si="49"/>
        <v>46.5</v>
      </c>
      <c r="DH24" s="182">
        <v>0</v>
      </c>
      <c r="DI24" s="174">
        <v>2.5</v>
      </c>
      <c r="DJ24" s="264">
        <f t="shared" si="50"/>
        <v>49</v>
      </c>
      <c r="DK24" s="264">
        <f t="shared" si="51"/>
        <v>49</v>
      </c>
      <c r="DL24" s="182">
        <v>0</v>
      </c>
      <c r="DM24" s="174">
        <v>2.5</v>
      </c>
      <c r="DN24" s="264">
        <f t="shared" si="52"/>
        <v>51.5</v>
      </c>
      <c r="DO24" s="264">
        <f t="shared" si="53"/>
        <v>51.5</v>
      </c>
    </row>
    <row r="25" ht="14.25" customHeight="1" spans="1:119" x14ac:dyDescent="0.25">
      <c r="A25" s="268" t="s">
        <v>937</v>
      </c>
      <c r="B25" s="185" t="s">
        <v>869</v>
      </c>
      <c r="C25" s="186" t="s">
        <v>1321</v>
      </c>
      <c r="D25" s="234" t="s">
        <v>939</v>
      </c>
      <c r="E25" s="234" t="s">
        <v>462</v>
      </c>
      <c r="F25" s="235" t="s">
        <v>1300</v>
      </c>
      <c r="G25" s="188">
        <v>45029</v>
      </c>
      <c r="H25" s="188">
        <v>45211</v>
      </c>
      <c r="I25" s="188">
        <v>45394</v>
      </c>
      <c r="J25" s="235"/>
      <c r="K25" s="235"/>
      <c r="L25" s="235">
        <f t="shared" si="84"/>
        <v>2.5</v>
      </c>
      <c r="M25" s="235"/>
      <c r="N25" s="235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8</v>
      </c>
      <c r="DE25" s="174">
        <v>2.5</v>
      </c>
      <c r="DF25" s="196">
        <f t="shared" si="48"/>
        <v>92.5</v>
      </c>
      <c r="DG25" s="196">
        <f t="shared" si="49"/>
        <v>84.5</v>
      </c>
      <c r="DH25" s="182">
        <v>0</v>
      </c>
      <c r="DI25" s="174">
        <v>2.5</v>
      </c>
      <c r="DJ25" s="196">
        <f t="shared" si="50"/>
        <v>87</v>
      </c>
      <c r="DK25" s="196">
        <f t="shared" si="51"/>
        <v>87</v>
      </c>
      <c r="DL25" s="182">
        <v>0</v>
      </c>
      <c r="DM25" s="174">
        <v>2.5</v>
      </c>
      <c r="DN25" s="196">
        <f t="shared" si="52"/>
        <v>89.5</v>
      </c>
      <c r="DO25" s="196">
        <f t="shared" si="53"/>
        <v>89.5</v>
      </c>
    </row>
    <row r="26" ht="14.25" customHeight="1" hidden="1" spans="1:119" s="240" customFormat="1" x14ac:dyDescent="0.25">
      <c r="A26" s="269" t="s">
        <v>940</v>
      </c>
      <c r="B26" s="242" t="s">
        <v>869</v>
      </c>
      <c r="C26" s="243" t="s">
        <v>941</v>
      </c>
      <c r="D26" s="244" t="s">
        <v>942</v>
      </c>
      <c r="E26" s="244" t="s">
        <v>466</v>
      </c>
      <c r="F26" s="245" t="s">
        <v>1300</v>
      </c>
      <c r="G26" s="246">
        <v>45078</v>
      </c>
      <c r="H26" s="246">
        <v>45169</v>
      </c>
      <c r="I26" s="246">
        <v>45444</v>
      </c>
      <c r="J26" s="245"/>
      <c r="K26" s="245"/>
      <c r="L26" s="245"/>
      <c r="M26" s="245"/>
      <c r="N26" s="245"/>
      <c r="O26" s="247"/>
      <c r="P26" s="248">
        <f t="shared" si="86"/>
        <v>2.5</v>
      </c>
      <c r="Q26" s="247"/>
      <c r="R26" s="248">
        <f t="shared" si="87"/>
        <v>5</v>
      </c>
      <c r="S26" s="247"/>
      <c r="T26" s="248">
        <f t="shared" si="88"/>
        <v>7.5</v>
      </c>
      <c r="U26" s="247"/>
      <c r="V26" s="248">
        <f t="shared" si="89"/>
        <v>10</v>
      </c>
      <c r="W26" s="247"/>
      <c r="X26" s="248">
        <f t="shared" si="90"/>
        <v>12.5</v>
      </c>
      <c r="Y26" s="247"/>
      <c r="Z26" s="248">
        <f t="shared" si="91"/>
        <v>15</v>
      </c>
      <c r="AA26" s="247">
        <v>2</v>
      </c>
      <c r="AB26" s="248">
        <f t="shared" si="92"/>
        <v>15.5</v>
      </c>
      <c r="AC26" s="247">
        <v>12</v>
      </c>
      <c r="AD26" s="248">
        <f t="shared" si="93"/>
        <v>6</v>
      </c>
      <c r="AE26" s="247"/>
      <c r="AF26" s="248">
        <f t="shared" si="94"/>
        <v>8.5</v>
      </c>
      <c r="AG26" s="247">
        <v>4</v>
      </c>
      <c r="AH26" s="248">
        <f t="shared" si="95"/>
        <v>7</v>
      </c>
      <c r="AI26" s="247"/>
      <c r="AJ26" s="248">
        <f t="shared" si="96"/>
        <v>9.5</v>
      </c>
      <c r="AK26" s="247"/>
      <c r="AL26" s="248">
        <f t="shared" si="97"/>
        <v>12</v>
      </c>
      <c r="AM26" s="247"/>
      <c r="AN26" s="248">
        <f t="shared" si="98"/>
        <v>14.5</v>
      </c>
      <c r="AO26" s="247">
        <v>1</v>
      </c>
      <c r="AP26" s="248">
        <f t="shared" si="99"/>
        <v>16</v>
      </c>
      <c r="AQ26" s="247">
        <v>2</v>
      </c>
      <c r="AR26" s="248">
        <f t="shared" si="100"/>
        <v>16.5</v>
      </c>
      <c r="AS26" s="247"/>
      <c r="AT26" s="248">
        <f t="shared" si="101"/>
        <v>19</v>
      </c>
      <c r="AU26" s="247"/>
      <c r="AV26" s="248">
        <f t="shared" si="102"/>
        <v>21.5</v>
      </c>
      <c r="AW26" s="247"/>
      <c r="AX26" s="248">
        <f t="shared" si="103"/>
        <v>24</v>
      </c>
      <c r="AY26" s="247">
        <v>5</v>
      </c>
      <c r="AZ26" s="248">
        <f t="shared" si="104"/>
        <v>21.5</v>
      </c>
      <c r="BA26" s="247">
        <v>14</v>
      </c>
      <c r="BB26" s="248">
        <f t="shared" si="105"/>
        <v>10</v>
      </c>
      <c r="BC26" s="247">
        <v>8</v>
      </c>
      <c r="BD26" s="248">
        <f t="shared" si="106"/>
        <v>4.5</v>
      </c>
      <c r="BE26" s="247">
        <v>2</v>
      </c>
      <c r="BF26" s="248">
        <f t="shared" si="83"/>
        <v>5</v>
      </c>
      <c r="BG26" s="247"/>
      <c r="BH26" s="248">
        <f t="shared" si="78"/>
        <v>7.5</v>
      </c>
      <c r="BI26" s="247"/>
      <c r="BJ26" s="248">
        <f t="shared" si="79"/>
        <v>10</v>
      </c>
      <c r="BK26" s="247">
        <v>1</v>
      </c>
      <c r="BL26" s="248">
        <f t="shared" si="80"/>
        <v>11.5</v>
      </c>
      <c r="BM26" s="247"/>
      <c r="BN26" s="248">
        <f t="shared" si="27"/>
        <v>14</v>
      </c>
      <c r="BO26" s="247">
        <v>1</v>
      </c>
      <c r="BP26" s="248">
        <f t="shared" si="28"/>
        <v>15.5</v>
      </c>
      <c r="BQ26" s="247"/>
      <c r="BR26" s="248">
        <f t="shared" si="29"/>
        <v>18</v>
      </c>
      <c r="BS26" s="247">
        <v>1</v>
      </c>
      <c r="BT26" s="248">
        <f t="shared" si="30"/>
        <v>19.5</v>
      </c>
      <c r="BU26" s="247"/>
      <c r="BV26" s="248">
        <f t="shared" si="81"/>
        <v>22</v>
      </c>
      <c r="BW26" s="247"/>
      <c r="BX26" s="248">
        <f t="shared" si="32"/>
        <v>24.5</v>
      </c>
      <c r="BY26" s="247"/>
      <c r="BZ26" s="249">
        <f t="shared" si="33"/>
        <v>27</v>
      </c>
      <c r="CA26" s="247">
        <v>7</v>
      </c>
      <c r="CB26" s="249">
        <f t="shared" si="34"/>
        <v>22.5</v>
      </c>
      <c r="CC26" s="249">
        <v>39</v>
      </c>
      <c r="CD26" s="249">
        <f t="shared" si="35"/>
        <v>-14</v>
      </c>
      <c r="CE26" s="250" t="s">
        <v>1316</v>
      </c>
      <c r="CF26" s="251"/>
      <c r="CG26" s="251">
        <v>2.5</v>
      </c>
      <c r="CH26" s="250">
        <f t="shared" si="36"/>
        <v>-11.5</v>
      </c>
      <c r="CI26" s="250">
        <f t="shared" si="37"/>
        <v>-11.5</v>
      </c>
      <c r="CJ26" s="251"/>
      <c r="CK26" s="251">
        <v>2.5</v>
      </c>
      <c r="CL26" s="250">
        <f t="shared" si="38"/>
        <v>-9</v>
      </c>
      <c r="CM26" s="250">
        <f t="shared" si="39"/>
        <v>-9</v>
      </c>
      <c r="CN26" s="252">
        <v>0</v>
      </c>
      <c r="CO26" s="251">
        <v>2.5</v>
      </c>
      <c r="CP26" s="250">
        <f t="shared" si="40"/>
        <v>-6.5</v>
      </c>
      <c r="CQ26" s="198">
        <f t="shared" si="41"/>
        <v>-6.5</v>
      </c>
      <c r="CR26" s="253">
        <v>0</v>
      </c>
      <c r="CS26" s="251">
        <v>2.5</v>
      </c>
      <c r="CT26" s="250">
        <f t="shared" si="42"/>
        <v>-4</v>
      </c>
      <c r="CU26" s="254">
        <f t="shared" si="43"/>
        <v>-4</v>
      </c>
      <c r="CV26" s="253">
        <v>0</v>
      </c>
      <c r="CW26" s="251">
        <v>2.5</v>
      </c>
      <c r="CX26" s="250">
        <f t="shared" si="44"/>
        <v>-1.5</v>
      </c>
      <c r="CY26" s="250">
        <f t="shared" si="45"/>
        <v>-1.5</v>
      </c>
      <c r="CZ26" s="253">
        <v>0</v>
      </c>
      <c r="DA26" s="251">
        <v>2.5</v>
      </c>
      <c r="DB26" s="250">
        <f t="shared" si="46"/>
        <v>1</v>
      </c>
      <c r="DC26" s="250">
        <f t="shared" si="47"/>
        <v>1</v>
      </c>
      <c r="DD26" s="182">
        <v>0</v>
      </c>
      <c r="DE26" s="174">
        <v>2.5</v>
      </c>
      <c r="DF26" s="250">
        <f t="shared" si="48"/>
        <v>3.5</v>
      </c>
      <c r="DG26" s="250">
        <f t="shared" si="49"/>
        <v>3.5</v>
      </c>
      <c r="DH26" s="182">
        <v>0</v>
      </c>
      <c r="DI26" s="174">
        <v>2.5</v>
      </c>
      <c r="DJ26" s="250">
        <f t="shared" si="50"/>
        <v>6</v>
      </c>
      <c r="DK26" s="250">
        <f t="shared" si="51"/>
        <v>6</v>
      </c>
      <c r="DL26" s="182">
        <v>0</v>
      </c>
      <c r="DM26" s="174">
        <v>2.5</v>
      </c>
      <c r="DN26" s="250">
        <f t="shared" si="52"/>
        <v>8.5</v>
      </c>
      <c r="DO26" s="250">
        <f t="shared" si="53"/>
        <v>8.5</v>
      </c>
    </row>
    <row r="27" ht="14.25" customHeight="1" hidden="1" spans="1:119" s="240" customFormat="1" x14ac:dyDescent="0.25">
      <c r="A27" s="269" t="s">
        <v>943</v>
      </c>
      <c r="B27" s="242" t="s">
        <v>869</v>
      </c>
      <c r="C27" s="243" t="s">
        <v>906</v>
      </c>
      <c r="D27" s="244" t="s">
        <v>945</v>
      </c>
      <c r="E27" s="244" t="s">
        <v>466</v>
      </c>
      <c r="F27" s="245" t="s">
        <v>1300</v>
      </c>
      <c r="G27" s="246">
        <v>45078</v>
      </c>
      <c r="H27" s="246">
        <v>45169</v>
      </c>
      <c r="I27" s="246">
        <v>45444</v>
      </c>
      <c r="J27" s="245"/>
      <c r="K27" s="245"/>
      <c r="L27" s="245"/>
      <c r="M27" s="245"/>
      <c r="N27" s="245"/>
      <c r="O27" s="247"/>
      <c r="P27" s="248">
        <f t="shared" si="86"/>
        <v>2.5</v>
      </c>
      <c r="Q27" s="247"/>
      <c r="R27" s="248">
        <f t="shared" si="87"/>
        <v>5</v>
      </c>
      <c r="S27" s="247"/>
      <c r="T27" s="248">
        <f t="shared" si="88"/>
        <v>7.5</v>
      </c>
      <c r="U27" s="247"/>
      <c r="V27" s="248">
        <f t="shared" si="89"/>
        <v>10</v>
      </c>
      <c r="W27" s="247"/>
      <c r="X27" s="248">
        <f t="shared" si="90"/>
        <v>12.5</v>
      </c>
      <c r="Y27" s="247"/>
      <c r="Z27" s="248">
        <f t="shared" si="91"/>
        <v>15</v>
      </c>
      <c r="AA27" s="247"/>
      <c r="AB27" s="248">
        <f t="shared" si="92"/>
        <v>17.5</v>
      </c>
      <c r="AC27" s="247">
        <v>12</v>
      </c>
      <c r="AD27" s="248">
        <f t="shared" si="93"/>
        <v>8</v>
      </c>
      <c r="AE27" s="247"/>
      <c r="AF27" s="248">
        <f t="shared" si="94"/>
        <v>10.5</v>
      </c>
      <c r="AG27" s="247"/>
      <c r="AH27" s="248">
        <f t="shared" si="95"/>
        <v>13</v>
      </c>
      <c r="AI27" s="247"/>
      <c r="AJ27" s="248">
        <f t="shared" si="96"/>
        <v>15.5</v>
      </c>
      <c r="AK27" s="247"/>
      <c r="AL27" s="248">
        <f t="shared" si="97"/>
        <v>18</v>
      </c>
      <c r="AM27" s="247"/>
      <c r="AN27" s="248">
        <f t="shared" si="98"/>
        <v>20.5</v>
      </c>
      <c r="AO27" s="247">
        <v>2</v>
      </c>
      <c r="AP27" s="248">
        <f t="shared" si="99"/>
        <v>21</v>
      </c>
      <c r="AQ27" s="247"/>
      <c r="AR27" s="248">
        <f t="shared" si="100"/>
        <v>23.5</v>
      </c>
      <c r="AS27" s="247"/>
      <c r="AT27" s="248">
        <f t="shared" si="101"/>
        <v>26</v>
      </c>
      <c r="AU27" s="247"/>
      <c r="AV27" s="248">
        <f t="shared" si="102"/>
        <v>28.5</v>
      </c>
      <c r="AW27" s="247">
        <v>3</v>
      </c>
      <c r="AX27" s="248">
        <f t="shared" si="103"/>
        <v>28</v>
      </c>
      <c r="AY27" s="247"/>
      <c r="AZ27" s="248">
        <f t="shared" si="104"/>
        <v>30.5</v>
      </c>
      <c r="BA27" s="247">
        <v>14</v>
      </c>
      <c r="BB27" s="248">
        <f t="shared" si="105"/>
        <v>19</v>
      </c>
      <c r="BC27" s="247">
        <v>8</v>
      </c>
      <c r="BD27" s="248">
        <f t="shared" si="106"/>
        <v>13.5</v>
      </c>
      <c r="BE27" s="247"/>
      <c r="BF27" s="248">
        <f t="shared" si="83"/>
        <v>16</v>
      </c>
      <c r="BG27" s="247"/>
      <c r="BH27" s="248">
        <f t="shared" si="78"/>
        <v>18.5</v>
      </c>
      <c r="BI27" s="247"/>
      <c r="BJ27" s="248">
        <f t="shared" si="79"/>
        <v>21</v>
      </c>
      <c r="BK27" s="247"/>
      <c r="BL27" s="248">
        <f t="shared" si="80"/>
        <v>23.5</v>
      </c>
      <c r="BM27" s="247"/>
      <c r="BN27" s="248">
        <f t="shared" si="27"/>
        <v>26</v>
      </c>
      <c r="BO27" s="247">
        <v>2</v>
      </c>
      <c r="BP27" s="248">
        <f t="shared" si="28"/>
        <v>26.5</v>
      </c>
      <c r="BQ27" s="247"/>
      <c r="BR27" s="248">
        <f t="shared" si="29"/>
        <v>29</v>
      </c>
      <c r="BS27" s="247"/>
      <c r="BT27" s="248">
        <f t="shared" si="30"/>
        <v>31.5</v>
      </c>
      <c r="BU27" s="247"/>
      <c r="BV27" s="248">
        <f t="shared" si="81"/>
        <v>34</v>
      </c>
      <c r="BW27" s="247"/>
      <c r="BX27" s="248">
        <f t="shared" si="32"/>
        <v>36.5</v>
      </c>
      <c r="BY27" s="247"/>
      <c r="BZ27" s="249">
        <f t="shared" si="33"/>
        <v>39</v>
      </c>
      <c r="CA27" s="247">
        <v>7</v>
      </c>
      <c r="CB27" s="249">
        <f t="shared" si="34"/>
        <v>34.5</v>
      </c>
      <c r="CC27" s="249">
        <v>39</v>
      </c>
      <c r="CD27" s="249">
        <f t="shared" si="35"/>
        <v>-2</v>
      </c>
      <c r="CE27" s="250" t="s">
        <v>1316</v>
      </c>
      <c r="CF27" s="251"/>
      <c r="CG27" s="251">
        <v>2.5</v>
      </c>
      <c r="CH27" s="250">
        <f t="shared" si="36"/>
        <v>0.5</v>
      </c>
      <c r="CI27" s="250">
        <f t="shared" si="37"/>
        <v>0.5</v>
      </c>
      <c r="CJ27" s="251"/>
      <c r="CK27" s="251">
        <v>2.5</v>
      </c>
      <c r="CL27" s="250">
        <f t="shared" si="38"/>
        <v>3</v>
      </c>
      <c r="CM27" s="250">
        <f t="shared" si="39"/>
        <v>3</v>
      </c>
      <c r="CN27" s="252">
        <v>0</v>
      </c>
      <c r="CO27" s="251">
        <v>2.5</v>
      </c>
      <c r="CP27" s="250">
        <f t="shared" si="40"/>
        <v>5.5</v>
      </c>
      <c r="CQ27" s="198">
        <f t="shared" si="41"/>
        <v>5.5</v>
      </c>
      <c r="CR27" s="253">
        <v>0</v>
      </c>
      <c r="CS27" s="251">
        <v>2.5</v>
      </c>
      <c r="CT27" s="250">
        <f t="shared" si="42"/>
        <v>8</v>
      </c>
      <c r="CU27" s="254">
        <f t="shared" si="43"/>
        <v>8</v>
      </c>
      <c r="CV27" s="253">
        <v>0</v>
      </c>
      <c r="CW27" s="251">
        <v>2.5</v>
      </c>
      <c r="CX27" s="250">
        <f t="shared" si="44"/>
        <v>10.5</v>
      </c>
      <c r="CY27" s="250">
        <f t="shared" si="45"/>
        <v>10.5</v>
      </c>
      <c r="CZ27" s="253">
        <v>0</v>
      </c>
      <c r="DA27" s="251">
        <v>2.5</v>
      </c>
      <c r="DB27" s="250">
        <f t="shared" si="46"/>
        <v>13</v>
      </c>
      <c r="DC27" s="250">
        <f t="shared" si="47"/>
        <v>13</v>
      </c>
      <c r="DD27" s="182">
        <v>0</v>
      </c>
      <c r="DE27" s="174">
        <v>2.5</v>
      </c>
      <c r="DF27" s="250">
        <f t="shared" si="48"/>
        <v>15.5</v>
      </c>
      <c r="DG27" s="250">
        <f t="shared" si="49"/>
        <v>15.5</v>
      </c>
      <c r="DH27" s="182">
        <v>0</v>
      </c>
      <c r="DI27" s="174">
        <v>2.5</v>
      </c>
      <c r="DJ27" s="250">
        <f t="shared" si="50"/>
        <v>18</v>
      </c>
      <c r="DK27" s="250">
        <f t="shared" si="51"/>
        <v>18</v>
      </c>
      <c r="DL27" s="182">
        <v>0</v>
      </c>
      <c r="DM27" s="174">
        <v>2.5</v>
      </c>
      <c r="DN27" s="250">
        <f t="shared" si="52"/>
        <v>20.5</v>
      </c>
      <c r="DO27" s="250">
        <f t="shared" si="53"/>
        <v>20.5</v>
      </c>
    </row>
    <row r="28" ht="14.25" customHeight="1" hidden="1" spans="1:119" s="240" customFormat="1" x14ac:dyDescent="0.25">
      <c r="A28" s="269" t="s">
        <v>568</v>
      </c>
      <c r="B28" s="242" t="s">
        <v>869</v>
      </c>
      <c r="C28" s="243" t="s">
        <v>946</v>
      </c>
      <c r="D28" s="244" t="s">
        <v>1183</v>
      </c>
      <c r="E28" s="244" t="s">
        <v>466</v>
      </c>
      <c r="F28" s="245" t="s">
        <v>1300</v>
      </c>
      <c r="G28" s="246">
        <v>45078</v>
      </c>
      <c r="H28" s="246">
        <v>45169</v>
      </c>
      <c r="I28" s="246">
        <v>45444</v>
      </c>
      <c r="J28" s="245"/>
      <c r="K28" s="245"/>
      <c r="L28" s="245"/>
      <c r="M28" s="245"/>
      <c r="N28" s="245"/>
      <c r="O28" s="247"/>
      <c r="P28" s="248">
        <f t="shared" si="86"/>
        <v>2.5</v>
      </c>
      <c r="Q28" s="247"/>
      <c r="R28" s="248">
        <f t="shared" si="87"/>
        <v>5</v>
      </c>
      <c r="S28" s="247"/>
      <c r="T28" s="248">
        <f t="shared" si="88"/>
        <v>7.5</v>
      </c>
      <c r="U28" s="247"/>
      <c r="V28" s="248">
        <f t="shared" si="89"/>
        <v>10</v>
      </c>
      <c r="W28" s="247"/>
      <c r="X28" s="248">
        <f t="shared" si="90"/>
        <v>12.5</v>
      </c>
      <c r="Y28" s="247"/>
      <c r="Z28" s="248">
        <f t="shared" si="91"/>
        <v>15</v>
      </c>
      <c r="AA28" s="247"/>
      <c r="AB28" s="248">
        <f t="shared" si="92"/>
        <v>17.5</v>
      </c>
      <c r="AC28" s="247">
        <v>12</v>
      </c>
      <c r="AD28" s="248">
        <f t="shared" si="93"/>
        <v>8</v>
      </c>
      <c r="AE28" s="247"/>
      <c r="AF28" s="248">
        <f t="shared" si="94"/>
        <v>10.5</v>
      </c>
      <c r="AG28" s="247"/>
      <c r="AH28" s="248">
        <f t="shared" si="95"/>
        <v>13</v>
      </c>
      <c r="AI28" s="247">
        <v>2</v>
      </c>
      <c r="AJ28" s="248">
        <f t="shared" si="96"/>
        <v>13.5</v>
      </c>
      <c r="AK28" s="247"/>
      <c r="AL28" s="248">
        <f t="shared" si="97"/>
        <v>16</v>
      </c>
      <c r="AM28" s="247">
        <v>2</v>
      </c>
      <c r="AN28" s="248">
        <f t="shared" si="98"/>
        <v>16.5</v>
      </c>
      <c r="AO28" s="247"/>
      <c r="AP28" s="248">
        <f t="shared" si="99"/>
        <v>19</v>
      </c>
      <c r="AQ28" s="247">
        <v>2</v>
      </c>
      <c r="AR28" s="248">
        <f t="shared" si="100"/>
        <v>19.5</v>
      </c>
      <c r="AS28" s="247"/>
      <c r="AT28" s="248">
        <f t="shared" si="101"/>
        <v>22</v>
      </c>
      <c r="AU28" s="247">
        <v>1</v>
      </c>
      <c r="AV28" s="248">
        <f t="shared" si="102"/>
        <v>23.5</v>
      </c>
      <c r="AW28" s="247"/>
      <c r="AX28" s="248">
        <f t="shared" si="103"/>
        <v>26</v>
      </c>
      <c r="AY28" s="247"/>
      <c r="AZ28" s="248">
        <f t="shared" si="104"/>
        <v>28.5</v>
      </c>
      <c r="BA28" s="247">
        <v>18</v>
      </c>
      <c r="BB28" s="248">
        <f t="shared" si="105"/>
        <v>13</v>
      </c>
      <c r="BC28" s="247">
        <v>9</v>
      </c>
      <c r="BD28" s="248">
        <f t="shared" si="106"/>
        <v>6.5</v>
      </c>
      <c r="BE28" s="247"/>
      <c r="BF28" s="248">
        <f t="shared" si="83"/>
        <v>9</v>
      </c>
      <c r="BG28" s="247">
        <v>1</v>
      </c>
      <c r="BH28" s="248">
        <f t="shared" si="78"/>
        <v>10.5</v>
      </c>
      <c r="BI28" s="247"/>
      <c r="BJ28" s="248">
        <f t="shared" si="79"/>
        <v>13</v>
      </c>
      <c r="BK28" s="247"/>
      <c r="BL28" s="248">
        <f t="shared" si="80"/>
        <v>15.5</v>
      </c>
      <c r="BM28" s="247">
        <v>1</v>
      </c>
      <c r="BN28" s="248">
        <f t="shared" si="27"/>
        <v>17</v>
      </c>
      <c r="BO28" s="247"/>
      <c r="BP28" s="248">
        <f t="shared" si="28"/>
        <v>19.5</v>
      </c>
      <c r="BQ28" s="247">
        <v>2</v>
      </c>
      <c r="BR28" s="248">
        <f t="shared" si="29"/>
        <v>20</v>
      </c>
      <c r="BS28" s="247"/>
      <c r="BT28" s="248">
        <f t="shared" si="30"/>
        <v>22.5</v>
      </c>
      <c r="BU28" s="247">
        <v>1</v>
      </c>
      <c r="BV28" s="248">
        <f t="shared" si="81"/>
        <v>24</v>
      </c>
      <c r="BW28" s="247"/>
      <c r="BX28" s="248">
        <f t="shared" si="32"/>
        <v>26.5</v>
      </c>
      <c r="BY28" s="247">
        <v>4</v>
      </c>
      <c r="BZ28" s="249">
        <f t="shared" si="33"/>
        <v>25</v>
      </c>
      <c r="CA28" s="247">
        <v>7</v>
      </c>
      <c r="CB28" s="249">
        <f t="shared" si="34"/>
        <v>20.5</v>
      </c>
      <c r="CC28" s="249">
        <v>39</v>
      </c>
      <c r="CD28" s="249">
        <f t="shared" si="35"/>
        <v>-16</v>
      </c>
      <c r="CE28" s="250" t="s">
        <v>1316</v>
      </c>
      <c r="CF28" s="251"/>
      <c r="CG28" s="251">
        <v>2.5</v>
      </c>
      <c r="CH28" s="250">
        <f t="shared" si="36"/>
        <v>-13.5</v>
      </c>
      <c r="CI28" s="250">
        <f t="shared" si="37"/>
        <v>-13.5</v>
      </c>
      <c r="CJ28" s="251">
        <v>5</v>
      </c>
      <c r="CK28" s="251">
        <v>2.5</v>
      </c>
      <c r="CL28" s="250">
        <f t="shared" si="38"/>
        <v>-11</v>
      </c>
      <c r="CM28" s="250">
        <f t="shared" si="39"/>
        <v>-16</v>
      </c>
      <c r="CN28" s="252">
        <v>0</v>
      </c>
      <c r="CO28" s="251">
        <v>2.5</v>
      </c>
      <c r="CP28" s="250">
        <f t="shared" si="40"/>
        <v>-13.5</v>
      </c>
      <c r="CQ28" s="198">
        <f t="shared" si="41"/>
        <v>-13.5</v>
      </c>
      <c r="CR28" s="253">
        <v>0</v>
      </c>
      <c r="CS28" s="251">
        <v>2.5</v>
      </c>
      <c r="CT28" s="250">
        <f t="shared" si="42"/>
        <v>-11</v>
      </c>
      <c r="CU28" s="254">
        <f t="shared" si="43"/>
        <v>-11</v>
      </c>
      <c r="CV28" s="253">
        <v>0</v>
      </c>
      <c r="CW28" s="251">
        <v>2.5</v>
      </c>
      <c r="CX28" s="250">
        <f t="shared" si="44"/>
        <v>-8.5</v>
      </c>
      <c r="CY28" s="250">
        <f t="shared" si="45"/>
        <v>-8.5</v>
      </c>
      <c r="CZ28" s="253">
        <v>0</v>
      </c>
      <c r="DA28" s="251">
        <v>2.5</v>
      </c>
      <c r="DB28" s="250">
        <f t="shared" si="46"/>
        <v>-6</v>
      </c>
      <c r="DC28" s="250">
        <f t="shared" si="47"/>
        <v>-6</v>
      </c>
      <c r="DD28" s="182">
        <v>0</v>
      </c>
      <c r="DE28" s="174">
        <v>2.5</v>
      </c>
      <c r="DF28" s="250">
        <f t="shared" si="48"/>
        <v>-3.5</v>
      </c>
      <c r="DG28" s="250">
        <f t="shared" si="49"/>
        <v>-3.5</v>
      </c>
      <c r="DH28" s="182">
        <v>0</v>
      </c>
      <c r="DI28" s="174">
        <v>2.5</v>
      </c>
      <c r="DJ28" s="250">
        <f t="shared" si="50"/>
        <v>-1</v>
      </c>
      <c r="DK28" s="250">
        <f t="shared" si="51"/>
        <v>-1</v>
      </c>
      <c r="DL28" s="182">
        <v>0</v>
      </c>
      <c r="DM28" s="174">
        <v>2.5</v>
      </c>
      <c r="DN28" s="250">
        <f t="shared" si="52"/>
        <v>1.5</v>
      </c>
      <c r="DO28" s="250">
        <f t="shared" si="53"/>
        <v>1.5</v>
      </c>
    </row>
    <row r="29" ht="14.25" customHeight="1" hidden="1" spans="1:119" s="240" customFormat="1" x14ac:dyDescent="0.25">
      <c r="A29" s="241" t="s">
        <v>330</v>
      </c>
      <c r="B29" s="242" t="s">
        <v>869</v>
      </c>
      <c r="C29" s="243" t="s">
        <v>1322</v>
      </c>
      <c r="D29" s="244" t="s">
        <v>1323</v>
      </c>
      <c r="E29" s="244" t="s">
        <v>466</v>
      </c>
      <c r="F29" s="245" t="s">
        <v>1300</v>
      </c>
      <c r="G29" s="246">
        <v>45306</v>
      </c>
      <c r="H29" s="245"/>
      <c r="I29" s="245"/>
      <c r="J29" s="245"/>
      <c r="K29" s="245"/>
      <c r="L29" s="245"/>
      <c r="M29" s="245"/>
      <c r="N29" s="245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>
        <v>1.25</v>
      </c>
      <c r="AE29" s="247"/>
      <c r="AF29" s="247">
        <f t="shared" si="94"/>
        <v>3.75</v>
      </c>
      <c r="AG29" s="247"/>
      <c r="AH29" s="247">
        <f t="shared" si="95"/>
        <v>6.25</v>
      </c>
      <c r="AI29" s="247"/>
      <c r="AJ29" s="247">
        <f t="shared" si="96"/>
        <v>8.75</v>
      </c>
      <c r="AK29" s="247"/>
      <c r="AL29" s="247">
        <f t="shared" si="97"/>
        <v>11.25</v>
      </c>
      <c r="AM29" s="247"/>
      <c r="AN29" s="247">
        <f t="shared" si="98"/>
        <v>13.75</v>
      </c>
      <c r="AO29" s="247"/>
      <c r="AP29" s="247">
        <f t="shared" si="99"/>
        <v>16.25</v>
      </c>
      <c r="AQ29" s="247"/>
      <c r="AR29" s="247">
        <f t="shared" si="100"/>
        <v>18.75</v>
      </c>
      <c r="AS29" s="247"/>
      <c r="AT29" s="247">
        <f t="shared" si="101"/>
        <v>21.25</v>
      </c>
      <c r="AU29" s="247"/>
      <c r="AV29" s="247">
        <f t="shared" si="102"/>
        <v>23.75</v>
      </c>
      <c r="AW29" s="247">
        <v>4</v>
      </c>
      <c r="AX29" s="247">
        <f t="shared" si="103"/>
        <v>22.25</v>
      </c>
      <c r="AY29" s="247"/>
      <c r="AZ29" s="247">
        <f t="shared" si="104"/>
        <v>24.75</v>
      </c>
      <c r="BA29" s="247">
        <v>11</v>
      </c>
      <c r="BB29" s="247">
        <f t="shared" si="105"/>
        <v>16.25</v>
      </c>
      <c r="BC29" s="247">
        <v>13</v>
      </c>
      <c r="BD29" s="247">
        <f t="shared" si="106"/>
        <v>5.75</v>
      </c>
      <c r="BE29" s="247"/>
      <c r="BF29" s="247">
        <f t="shared" si="83"/>
        <v>8.25</v>
      </c>
      <c r="BG29" s="247"/>
      <c r="BH29" s="247">
        <f t="shared" si="78"/>
        <v>10.75</v>
      </c>
      <c r="BI29" s="247"/>
      <c r="BJ29" s="247">
        <f t="shared" si="79"/>
        <v>13.25</v>
      </c>
      <c r="BK29" s="247"/>
      <c r="BL29" s="247">
        <f t="shared" si="80"/>
        <v>15.75</v>
      </c>
      <c r="BM29" s="247"/>
      <c r="BN29" s="247">
        <f t="shared" si="27"/>
        <v>18.25</v>
      </c>
      <c r="BO29" s="247"/>
      <c r="BP29" s="247">
        <f t="shared" si="28"/>
        <v>20.75</v>
      </c>
      <c r="BQ29" s="247"/>
      <c r="BR29" s="247">
        <f t="shared" si="29"/>
        <v>23.25</v>
      </c>
      <c r="BS29" s="247"/>
      <c r="BT29" s="247">
        <f t="shared" si="30"/>
        <v>25.75</v>
      </c>
      <c r="BU29" s="247"/>
      <c r="BV29" s="247">
        <f t="shared" si="81"/>
        <v>28.25</v>
      </c>
      <c r="BW29" s="247"/>
      <c r="BX29" s="247">
        <f t="shared" si="32"/>
        <v>30.75</v>
      </c>
      <c r="BY29" s="247"/>
      <c r="BZ29" s="249">
        <f t="shared" si="33"/>
        <v>33.25</v>
      </c>
      <c r="CA29" s="247">
        <v>3</v>
      </c>
      <c r="CB29" s="249">
        <f t="shared" si="34"/>
        <v>32.75</v>
      </c>
      <c r="CC29" s="249"/>
      <c r="CD29" s="249">
        <f t="shared" si="35"/>
        <v>35.25</v>
      </c>
      <c r="CE29" s="250" t="s">
        <v>1316</v>
      </c>
      <c r="CF29" s="251"/>
      <c r="CG29" s="251">
        <v>2.5</v>
      </c>
      <c r="CH29" s="250">
        <f t="shared" si="36"/>
        <v>37.75</v>
      </c>
      <c r="CI29" s="250">
        <f t="shared" si="37"/>
        <v>37.75</v>
      </c>
      <c r="CJ29" s="251">
        <v>20</v>
      </c>
      <c r="CK29" s="251">
        <v>2.5</v>
      </c>
      <c r="CL29" s="250">
        <f t="shared" si="38"/>
        <v>40.25</v>
      </c>
      <c r="CM29" s="250">
        <f t="shared" si="39"/>
        <v>20.25</v>
      </c>
      <c r="CN29" s="252">
        <v>0</v>
      </c>
      <c r="CO29" s="251">
        <v>2.5</v>
      </c>
      <c r="CP29" s="250">
        <f t="shared" si="40"/>
        <v>22.75</v>
      </c>
      <c r="CQ29" s="198">
        <f t="shared" si="41"/>
        <v>22.75</v>
      </c>
      <c r="CR29" s="253">
        <v>0</v>
      </c>
      <c r="CS29" s="251">
        <v>2.5</v>
      </c>
      <c r="CT29" s="250">
        <f t="shared" si="42"/>
        <v>25.25</v>
      </c>
      <c r="CU29" s="254">
        <f t="shared" si="43"/>
        <v>25.25</v>
      </c>
      <c r="CV29" s="253">
        <v>0</v>
      </c>
      <c r="CW29" s="251">
        <v>2.5</v>
      </c>
      <c r="CX29" s="250">
        <f t="shared" si="44"/>
        <v>27.75</v>
      </c>
      <c r="CY29" s="250">
        <f t="shared" si="45"/>
        <v>27.75</v>
      </c>
      <c r="CZ29" s="253">
        <v>0</v>
      </c>
      <c r="DA29" s="251">
        <v>2.5</v>
      </c>
      <c r="DB29" s="250">
        <f t="shared" si="46"/>
        <v>30.25</v>
      </c>
      <c r="DC29" s="250">
        <f t="shared" si="47"/>
        <v>30.25</v>
      </c>
      <c r="DD29" s="182">
        <v>0</v>
      </c>
      <c r="DE29" s="174">
        <v>2.5</v>
      </c>
      <c r="DF29" s="250">
        <f t="shared" si="48"/>
        <v>32.75</v>
      </c>
      <c r="DG29" s="250">
        <f t="shared" si="49"/>
        <v>32.75</v>
      </c>
      <c r="DH29" s="182">
        <v>0</v>
      </c>
      <c r="DI29" s="174">
        <v>2.5</v>
      </c>
      <c r="DJ29" s="250">
        <f t="shared" si="50"/>
        <v>35.25</v>
      </c>
      <c r="DK29" s="250">
        <f t="shared" si="51"/>
        <v>35.25</v>
      </c>
      <c r="DL29" s="182">
        <v>0</v>
      </c>
      <c r="DM29" s="174">
        <v>2.5</v>
      </c>
      <c r="DN29" s="250">
        <f t="shared" si="52"/>
        <v>37.75</v>
      </c>
      <c r="DO29" s="250">
        <f t="shared" si="53"/>
        <v>37.75</v>
      </c>
    </row>
    <row r="30" ht="14.25" customHeight="1" hidden="1" spans="1:119" s="240" customFormat="1" x14ac:dyDescent="0.25">
      <c r="A30" s="241" t="s">
        <v>458</v>
      </c>
      <c r="B30" s="242" t="s">
        <v>869</v>
      </c>
      <c r="C30" s="243" t="s">
        <v>1324</v>
      </c>
      <c r="D30" s="244" t="s">
        <v>1325</v>
      </c>
      <c r="E30" s="244" t="s">
        <v>470</v>
      </c>
      <c r="F30" s="245" t="s">
        <v>1326</v>
      </c>
      <c r="G30" s="246">
        <v>45281</v>
      </c>
      <c r="H30" s="245"/>
      <c r="I30" s="245"/>
      <c r="J30" s="245"/>
      <c r="K30" s="245"/>
      <c r="L30" s="245"/>
      <c r="M30" s="245"/>
      <c r="N30" s="245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>
        <v>1</v>
      </c>
      <c r="AC30" s="247"/>
      <c r="AD30" s="247">
        <f>(AB30-AC30)+2.5</f>
        <v>3.5</v>
      </c>
      <c r="AE30" s="247"/>
      <c r="AF30" s="247">
        <f t="shared" si="94"/>
        <v>6</v>
      </c>
      <c r="AG30" s="247"/>
      <c r="AH30" s="247">
        <f t="shared" si="95"/>
        <v>8.5</v>
      </c>
      <c r="AI30" s="247"/>
      <c r="AJ30" s="247">
        <f t="shared" si="96"/>
        <v>11</v>
      </c>
      <c r="AK30" s="247"/>
      <c r="AL30" s="247">
        <f t="shared" si="97"/>
        <v>13.5</v>
      </c>
      <c r="AM30" s="247"/>
      <c r="AN30" s="247">
        <f t="shared" si="98"/>
        <v>16</v>
      </c>
      <c r="AO30" s="247"/>
      <c r="AP30" s="247">
        <f t="shared" si="99"/>
        <v>18.5</v>
      </c>
      <c r="AQ30" s="247"/>
      <c r="AR30" s="247">
        <f t="shared" si="100"/>
        <v>21</v>
      </c>
      <c r="AS30" s="247"/>
      <c r="AT30" s="247">
        <f t="shared" si="101"/>
        <v>23.5</v>
      </c>
      <c r="AU30" s="247"/>
      <c r="AV30" s="247">
        <f t="shared" si="102"/>
        <v>26</v>
      </c>
      <c r="AW30" s="247"/>
      <c r="AX30" s="247">
        <f t="shared" si="103"/>
        <v>28.5</v>
      </c>
      <c r="AY30" s="247"/>
      <c r="AZ30" s="247">
        <f t="shared" si="104"/>
        <v>31</v>
      </c>
      <c r="BA30" s="247"/>
      <c r="BB30" s="247">
        <f t="shared" si="105"/>
        <v>33.5</v>
      </c>
      <c r="BC30" s="247"/>
      <c r="BD30" s="247">
        <f t="shared" si="106"/>
        <v>36</v>
      </c>
      <c r="BE30" s="247"/>
      <c r="BF30" s="247">
        <f t="shared" si="83"/>
        <v>38.5</v>
      </c>
      <c r="BG30" s="247"/>
      <c r="BH30" s="247">
        <f t="shared" si="78"/>
        <v>41</v>
      </c>
      <c r="BI30" s="247"/>
      <c r="BJ30" s="247">
        <f t="shared" si="79"/>
        <v>43.5</v>
      </c>
      <c r="BK30" s="247"/>
      <c r="BL30" s="247">
        <f t="shared" si="80"/>
        <v>46</v>
      </c>
      <c r="BM30" s="247"/>
      <c r="BN30" s="247">
        <f t="shared" si="27"/>
        <v>48.5</v>
      </c>
      <c r="BO30" s="247"/>
      <c r="BP30" s="247">
        <f t="shared" si="28"/>
        <v>51</v>
      </c>
      <c r="BQ30" s="247"/>
      <c r="BR30" s="247">
        <f t="shared" si="29"/>
        <v>53.5</v>
      </c>
      <c r="BS30" s="247"/>
      <c r="BT30" s="247">
        <f t="shared" si="30"/>
        <v>56</v>
      </c>
      <c r="BU30" s="247">
        <v>15</v>
      </c>
      <c r="BV30" s="247">
        <f t="shared" si="81"/>
        <v>43.5</v>
      </c>
      <c r="BW30" s="247"/>
      <c r="BX30" s="247">
        <f t="shared" si="32"/>
        <v>46</v>
      </c>
      <c r="BY30" s="247"/>
      <c r="BZ30" s="249">
        <f t="shared" si="33"/>
        <v>48.5</v>
      </c>
      <c r="CA30" s="247"/>
      <c r="CB30" s="249">
        <f t="shared" si="34"/>
        <v>51</v>
      </c>
      <c r="CC30" s="249"/>
      <c r="CD30" s="249">
        <f t="shared" si="35"/>
        <v>53.5</v>
      </c>
      <c r="CE30" s="250"/>
      <c r="CF30" s="251"/>
      <c r="CG30" s="251">
        <v>2.5</v>
      </c>
      <c r="CH30" s="250">
        <f t="shared" si="36"/>
        <v>56</v>
      </c>
      <c r="CI30" s="250">
        <f t="shared" si="37"/>
        <v>56</v>
      </c>
      <c r="CJ30" s="251"/>
      <c r="CK30" s="251">
        <v>2.5</v>
      </c>
      <c r="CL30" s="250">
        <f t="shared" si="38"/>
        <v>58.5</v>
      </c>
      <c r="CM30" s="250">
        <f t="shared" si="39"/>
        <v>58.5</v>
      </c>
      <c r="CN30" s="252">
        <v>0</v>
      </c>
      <c r="CO30" s="251">
        <v>2.5</v>
      </c>
      <c r="CP30" s="250">
        <f t="shared" si="40"/>
        <v>61</v>
      </c>
      <c r="CQ30" s="250">
        <f t="shared" si="41"/>
        <v>61</v>
      </c>
      <c r="CR30" s="253">
        <v>0</v>
      </c>
      <c r="CS30" s="251">
        <v>2.5</v>
      </c>
      <c r="CT30" s="250">
        <f t="shared" si="42"/>
        <v>63.5</v>
      </c>
      <c r="CU30" s="254">
        <f t="shared" si="43"/>
        <v>63.5</v>
      </c>
      <c r="CV30" s="253">
        <v>0</v>
      </c>
      <c r="CW30" s="251">
        <v>2.5</v>
      </c>
      <c r="CX30" s="250">
        <f t="shared" si="44"/>
        <v>66</v>
      </c>
      <c r="CY30" s="250">
        <f t="shared" si="45"/>
        <v>66</v>
      </c>
      <c r="CZ30" s="253">
        <v>0</v>
      </c>
      <c r="DA30" s="251">
        <v>2.5</v>
      </c>
      <c r="DB30" s="250">
        <f t="shared" si="46"/>
        <v>68.5</v>
      </c>
      <c r="DC30" s="250">
        <f t="shared" si="47"/>
        <v>68.5</v>
      </c>
      <c r="DD30" s="182">
        <v>0</v>
      </c>
      <c r="DE30" s="174">
        <v>2.5</v>
      </c>
      <c r="DF30" s="250">
        <f t="shared" si="48"/>
        <v>71</v>
      </c>
      <c r="DG30" s="250">
        <f t="shared" si="49"/>
        <v>71</v>
      </c>
      <c r="DH30" s="182">
        <v>0</v>
      </c>
      <c r="DI30" s="174">
        <v>2.5</v>
      </c>
      <c r="DJ30" s="250">
        <f t="shared" si="50"/>
        <v>73.5</v>
      </c>
      <c r="DK30" s="250">
        <f t="shared" si="51"/>
        <v>73.5</v>
      </c>
      <c r="DL30" s="182">
        <v>0</v>
      </c>
      <c r="DM30" s="174">
        <v>2.5</v>
      </c>
      <c r="DN30" s="250">
        <f t="shared" si="52"/>
        <v>76</v>
      </c>
      <c r="DO30" s="250">
        <f t="shared" si="53"/>
        <v>76</v>
      </c>
    </row>
    <row r="31" ht="14.25" customHeight="1" spans="1:119" s="52" customFormat="1" x14ac:dyDescent="0.25">
      <c r="A31" s="56" t="s">
        <v>953</v>
      </c>
      <c r="B31" s="218" t="s">
        <v>869</v>
      </c>
      <c r="C31" s="270" t="s">
        <v>954</v>
      </c>
      <c r="D31" s="238" t="s">
        <v>955</v>
      </c>
      <c r="E31" s="238" t="s">
        <v>956</v>
      </c>
      <c r="F31" s="239" t="s">
        <v>1300</v>
      </c>
      <c r="G31" s="221">
        <v>45362</v>
      </c>
      <c r="H31" s="239"/>
      <c r="I31" s="239"/>
      <c r="J31" s="239"/>
      <c r="K31" s="239"/>
      <c r="L31" s="239"/>
      <c r="M31" s="239"/>
      <c r="N31" s="239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>
        <v>1.67</v>
      </c>
      <c r="AI31" s="230">
        <v>1</v>
      </c>
      <c r="AJ31" s="230">
        <f t="shared" si="96"/>
        <v>3.17</v>
      </c>
      <c r="AK31" s="230"/>
      <c r="AL31" s="230">
        <f t="shared" si="97"/>
        <v>5.67</v>
      </c>
      <c r="AM31" s="230"/>
      <c r="AN31" s="230">
        <f t="shared" si="98"/>
        <v>8.17</v>
      </c>
      <c r="AO31" s="230"/>
      <c r="AP31" s="230">
        <f t="shared" si="99"/>
        <v>10.67</v>
      </c>
      <c r="AQ31" s="230"/>
      <c r="AR31" s="230">
        <f t="shared" si="100"/>
        <v>13.17</v>
      </c>
      <c r="AS31" s="230"/>
      <c r="AT31" s="230">
        <f t="shared" si="101"/>
        <v>15.67</v>
      </c>
      <c r="AU31" s="230">
        <v>8</v>
      </c>
      <c r="AV31" s="230">
        <f t="shared" si="102"/>
        <v>10.17</v>
      </c>
      <c r="AW31" s="230"/>
      <c r="AX31" s="230">
        <f t="shared" si="103"/>
        <v>12.67</v>
      </c>
      <c r="AY31" s="230"/>
      <c r="AZ31" s="230">
        <f t="shared" si="104"/>
        <v>15.17</v>
      </c>
      <c r="BA31" s="230"/>
      <c r="BB31" s="230">
        <f t="shared" si="105"/>
        <v>17.67</v>
      </c>
      <c r="BC31" s="230"/>
      <c r="BD31" s="230">
        <f t="shared" si="106"/>
        <v>20.17</v>
      </c>
      <c r="BE31" s="230">
        <v>2</v>
      </c>
      <c r="BF31" s="230">
        <f t="shared" si="83"/>
        <v>20.67</v>
      </c>
      <c r="BG31" s="230"/>
      <c r="BH31" s="230">
        <f t="shared" si="78"/>
        <v>23.17</v>
      </c>
      <c r="BI31" s="230">
        <v>5</v>
      </c>
      <c r="BJ31" s="230">
        <f t="shared" si="79"/>
        <v>20.67</v>
      </c>
      <c r="BK31" s="230">
        <v>1</v>
      </c>
      <c r="BL31" s="230">
        <f t="shared" si="80"/>
        <v>22.17</v>
      </c>
      <c r="BM31" s="230"/>
      <c r="BN31" s="230">
        <f t="shared" si="27"/>
        <v>24.67</v>
      </c>
      <c r="BO31" s="230"/>
      <c r="BP31" s="230">
        <f t="shared" si="28"/>
        <v>27.17</v>
      </c>
      <c r="BQ31" s="230"/>
      <c r="BR31" s="230">
        <f t="shared" si="29"/>
        <v>29.67</v>
      </c>
      <c r="BS31" s="230"/>
      <c r="BT31" s="230">
        <f t="shared" si="30"/>
        <v>32.17</v>
      </c>
      <c r="BU31" s="230"/>
      <c r="BV31" s="230">
        <f t="shared" si="81"/>
        <v>34.67</v>
      </c>
      <c r="BW31" s="230"/>
      <c r="BX31" s="230">
        <f t="shared" si="32"/>
        <v>37.17</v>
      </c>
      <c r="BY31" s="230"/>
      <c r="BZ31" s="231">
        <f t="shared" si="33"/>
        <v>39.67</v>
      </c>
      <c r="CA31" s="230">
        <v>15</v>
      </c>
      <c r="CB31" s="231">
        <f t="shared" si="34"/>
        <v>27.17</v>
      </c>
      <c r="CC31" s="231"/>
      <c r="CD31" s="231">
        <f t="shared" si="35"/>
        <v>29.67</v>
      </c>
      <c r="CE31" s="228" t="s">
        <v>1316</v>
      </c>
      <c r="CF31" s="59"/>
      <c r="CG31" s="59">
        <v>2.5</v>
      </c>
      <c r="CH31" s="228">
        <f t="shared" si="36"/>
        <v>32.17</v>
      </c>
      <c r="CI31" s="228">
        <f t="shared" si="37"/>
        <v>32.17</v>
      </c>
      <c r="CJ31" s="59"/>
      <c r="CK31" s="59">
        <v>2.5</v>
      </c>
      <c r="CL31" s="228">
        <f t="shared" si="38"/>
        <v>34.67</v>
      </c>
      <c r="CM31" s="228">
        <f t="shared" si="39"/>
        <v>34.67</v>
      </c>
      <c r="CN31" s="225">
        <v>0</v>
      </c>
      <c r="CO31" s="59">
        <v>2.5</v>
      </c>
      <c r="CP31" s="228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28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28">
        <f t="shared" si="45"/>
        <v>39.17</v>
      </c>
      <c r="CZ31" s="199">
        <v>0</v>
      </c>
      <c r="DA31" s="39">
        <v>2.5</v>
      </c>
      <c r="DB31" s="228">
        <f t="shared" si="46"/>
        <v>41.67</v>
      </c>
      <c r="DC31" s="228">
        <f t="shared" si="47"/>
        <v>41.67</v>
      </c>
      <c r="DD31" s="182">
        <v>8</v>
      </c>
      <c r="DE31" s="174">
        <v>2.5</v>
      </c>
      <c r="DF31" s="228">
        <f t="shared" si="48"/>
        <v>44.17</v>
      </c>
      <c r="DG31" s="228">
        <f t="shared" si="49"/>
        <v>36.17</v>
      </c>
      <c r="DH31" s="182">
        <v>0</v>
      </c>
      <c r="DI31" s="174">
        <v>2.5</v>
      </c>
      <c r="DJ31" s="228">
        <f t="shared" si="50"/>
        <v>38.67</v>
      </c>
      <c r="DK31" s="228">
        <f t="shared" si="51"/>
        <v>38.67</v>
      </c>
      <c r="DL31" s="182">
        <v>0</v>
      </c>
      <c r="DM31" s="174">
        <v>2.5</v>
      </c>
      <c r="DN31" s="228">
        <f t="shared" si="52"/>
        <v>41.17</v>
      </c>
      <c r="DO31" s="228">
        <f t="shared" si="53"/>
        <v>41.17</v>
      </c>
    </row>
    <row r="32" ht="14.25" customHeight="1" spans="1:119" s="165" customFormat="1" x14ac:dyDescent="0.25">
      <c r="A32" s="271" t="s">
        <v>957</v>
      </c>
      <c r="B32" s="167" t="s">
        <v>869</v>
      </c>
      <c r="C32" s="272" t="s">
        <v>958</v>
      </c>
      <c r="D32" s="273" t="s">
        <v>959</v>
      </c>
      <c r="E32" s="273" t="s">
        <v>114</v>
      </c>
      <c r="F32" s="274" t="s">
        <v>1300</v>
      </c>
      <c r="G32" s="170">
        <v>45362</v>
      </c>
      <c r="H32" s="274"/>
      <c r="I32" s="274"/>
      <c r="J32" s="274"/>
      <c r="K32" s="274"/>
      <c r="L32" s="274"/>
      <c r="M32" s="274"/>
      <c r="N32" s="274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8</v>
      </c>
      <c r="DE32" s="174">
        <v>2.5</v>
      </c>
      <c r="DF32" s="179">
        <f t="shared" si="48"/>
        <v>68.17</v>
      </c>
      <c r="DG32" s="179">
        <f t="shared" si="49"/>
        <v>60.17</v>
      </c>
      <c r="DH32" s="182">
        <v>0</v>
      </c>
      <c r="DI32" s="174">
        <v>2.5</v>
      </c>
      <c r="DJ32" s="179">
        <f t="shared" si="50"/>
        <v>62.67</v>
      </c>
      <c r="DK32" s="179">
        <f t="shared" si="51"/>
        <v>62.67</v>
      </c>
      <c r="DL32" s="182">
        <v>0</v>
      </c>
      <c r="DM32" s="174">
        <v>2.5</v>
      </c>
      <c r="DN32" s="179">
        <f t="shared" si="52"/>
        <v>65.17</v>
      </c>
      <c r="DO32" s="179">
        <f t="shared" si="53"/>
        <v>65.17</v>
      </c>
    </row>
    <row r="33" ht="14.25" customHeight="1" spans="1:119" x14ac:dyDescent="0.25">
      <c r="A33" s="32" t="s">
        <v>752</v>
      </c>
      <c r="B33" s="185" t="s">
        <v>869</v>
      </c>
      <c r="C33" s="275" t="s">
        <v>960</v>
      </c>
      <c r="D33" s="234" t="s">
        <v>961</v>
      </c>
      <c r="E33" s="234" t="s">
        <v>114</v>
      </c>
      <c r="F33" s="235" t="s">
        <v>1300</v>
      </c>
      <c r="G33" s="188">
        <v>45362</v>
      </c>
      <c r="H33" s="235"/>
      <c r="I33" s="235"/>
      <c r="J33" s="235"/>
      <c r="K33" s="235"/>
      <c r="L33" s="235"/>
      <c r="M33" s="235"/>
      <c r="N33" s="235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11</v>
      </c>
      <c r="DE33" s="174">
        <v>2.5</v>
      </c>
      <c r="DF33" s="196">
        <f t="shared" si="48"/>
        <v>72.17</v>
      </c>
      <c r="DG33" s="196">
        <f t="shared" si="49"/>
        <v>61.17</v>
      </c>
      <c r="DH33" s="182">
        <v>0</v>
      </c>
      <c r="DI33" s="174">
        <v>2.5</v>
      </c>
      <c r="DJ33" s="196">
        <f t="shared" si="50"/>
        <v>63.67</v>
      </c>
      <c r="DK33" s="196">
        <f t="shared" si="51"/>
        <v>63.67</v>
      </c>
      <c r="DL33" s="182">
        <v>0</v>
      </c>
      <c r="DM33" s="174">
        <v>2.5</v>
      </c>
      <c r="DN33" s="196">
        <f t="shared" si="52"/>
        <v>66.17</v>
      </c>
      <c r="DO33" s="196">
        <f t="shared" si="53"/>
        <v>66.17</v>
      </c>
    </row>
    <row r="34" ht="14.25" customHeight="1" spans="1:119" x14ac:dyDescent="0.25">
      <c r="A34" s="32" t="s">
        <v>729</v>
      </c>
      <c r="B34" s="185" t="s">
        <v>869</v>
      </c>
      <c r="C34" s="275" t="s">
        <v>962</v>
      </c>
      <c r="D34" s="234" t="s">
        <v>1327</v>
      </c>
      <c r="E34" s="234" t="s">
        <v>502</v>
      </c>
      <c r="F34" s="235" t="s">
        <v>1300</v>
      </c>
      <c r="G34" s="188">
        <v>45376</v>
      </c>
      <c r="H34" s="235"/>
      <c r="I34" s="235"/>
      <c r="J34" s="235"/>
      <c r="K34" s="235"/>
      <c r="L34" s="235"/>
      <c r="M34" s="235"/>
      <c r="N34" s="235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71" t="s">
        <v>741</v>
      </c>
      <c r="B35" s="167" t="s">
        <v>869</v>
      </c>
      <c r="C35" s="272" t="s">
        <v>964</v>
      </c>
      <c r="D35" s="273" t="s">
        <v>1328</v>
      </c>
      <c r="E35" s="273" t="s">
        <v>502</v>
      </c>
      <c r="F35" s="274" t="s">
        <v>1300</v>
      </c>
      <c r="G35" s="170">
        <v>45376</v>
      </c>
      <c r="H35" s="274"/>
      <c r="I35" s="274"/>
      <c r="J35" s="274"/>
      <c r="K35" s="274"/>
      <c r="L35" s="274"/>
      <c r="M35" s="274"/>
      <c r="N35" s="274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6" t="s">
        <v>528</v>
      </c>
      <c r="B36" s="202" t="s">
        <v>869</v>
      </c>
      <c r="C36" s="277" t="s">
        <v>1329</v>
      </c>
      <c r="D36" s="278" t="s">
        <v>1330</v>
      </c>
      <c r="E36" s="278" t="s">
        <v>502</v>
      </c>
      <c r="F36" s="279" t="s">
        <v>1300</v>
      </c>
      <c r="G36" s="205">
        <v>45376</v>
      </c>
      <c r="H36" s="279"/>
      <c r="I36" s="279"/>
      <c r="J36" s="279"/>
      <c r="K36" s="279"/>
      <c r="L36" s="279"/>
      <c r="M36" s="279"/>
      <c r="N36" s="279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71" t="s">
        <v>968</v>
      </c>
      <c r="B37" s="167" t="s">
        <v>869</v>
      </c>
      <c r="C37" s="272" t="s">
        <v>1000</v>
      </c>
      <c r="D37" s="273" t="s">
        <v>1331</v>
      </c>
      <c r="E37" s="273" t="s">
        <v>502</v>
      </c>
      <c r="F37" s="274" t="s">
        <v>1300</v>
      </c>
      <c r="G37" s="170">
        <v>45376</v>
      </c>
      <c r="H37" s="274"/>
      <c r="I37" s="274"/>
      <c r="J37" s="274"/>
      <c r="K37" s="274"/>
      <c r="L37" s="274"/>
      <c r="M37" s="274"/>
      <c r="N37" s="274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71" t="s">
        <v>688</v>
      </c>
      <c r="B38" s="167" t="s">
        <v>869</v>
      </c>
      <c r="C38" s="272" t="s">
        <v>1332</v>
      </c>
      <c r="D38" s="273" t="s">
        <v>1333</v>
      </c>
      <c r="E38" s="273" t="s">
        <v>502</v>
      </c>
      <c r="F38" s="274" t="s">
        <v>1300</v>
      </c>
      <c r="G38" s="170">
        <v>45376</v>
      </c>
      <c r="H38" s="274"/>
      <c r="I38" s="274"/>
      <c r="J38" s="274"/>
      <c r="K38" s="274"/>
      <c r="L38" s="274"/>
      <c r="M38" s="274"/>
      <c r="N38" s="274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0</v>
      </c>
      <c r="DE38" s="174">
        <v>2.5</v>
      </c>
      <c r="DF38" s="179">
        <f t="shared" si="48"/>
        <v>33</v>
      </c>
      <c r="DG38" s="179">
        <f t="shared" si="49"/>
        <v>33</v>
      </c>
      <c r="DH38" s="182">
        <v>0</v>
      </c>
      <c r="DI38" s="174">
        <v>2.5</v>
      </c>
      <c r="DJ38" s="179">
        <f t="shared" si="50"/>
        <v>35.5</v>
      </c>
      <c r="DK38" s="179">
        <f t="shared" si="51"/>
        <v>35.5</v>
      </c>
      <c r="DL38" s="182">
        <v>0</v>
      </c>
      <c r="DM38" s="174">
        <v>2.5</v>
      </c>
      <c r="DN38" s="179">
        <f t="shared" si="52"/>
        <v>38</v>
      </c>
      <c r="DO38" s="179">
        <f t="shared" si="53"/>
        <v>38</v>
      </c>
    </row>
    <row r="39" ht="14.25" customHeight="1" spans="1:119" x14ac:dyDescent="0.25">
      <c r="A39" s="32" t="s">
        <v>478</v>
      </c>
      <c r="B39" s="185" t="s">
        <v>869</v>
      </c>
      <c r="C39" s="275" t="s">
        <v>898</v>
      </c>
      <c r="D39" s="234" t="s">
        <v>1334</v>
      </c>
      <c r="E39" s="234" t="s">
        <v>502</v>
      </c>
      <c r="F39" s="235" t="s">
        <v>1300</v>
      </c>
      <c r="G39" s="188">
        <v>45376</v>
      </c>
      <c r="H39" s="235"/>
      <c r="I39" s="235"/>
      <c r="J39" s="235"/>
      <c r="K39" s="235"/>
      <c r="L39" s="235"/>
      <c r="M39" s="235"/>
      <c r="N39" s="235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12</v>
      </c>
      <c r="DE39" s="174">
        <v>2.5</v>
      </c>
      <c r="DF39" s="196">
        <f t="shared" si="48"/>
        <v>25</v>
      </c>
      <c r="DG39" s="196">
        <f t="shared" si="49"/>
        <v>13</v>
      </c>
      <c r="DH39" s="182">
        <v>0</v>
      </c>
      <c r="DI39" s="174">
        <v>2.5</v>
      </c>
      <c r="DJ39" s="196">
        <f t="shared" si="50"/>
        <v>15.5</v>
      </c>
      <c r="DK39" s="196">
        <f t="shared" si="51"/>
        <v>15.5</v>
      </c>
      <c r="DL39" s="182">
        <v>0</v>
      </c>
      <c r="DM39" s="174">
        <v>2.5</v>
      </c>
      <c r="DN39" s="196">
        <f t="shared" si="52"/>
        <v>18</v>
      </c>
      <c r="DO39" s="196">
        <f t="shared" si="53"/>
        <v>18</v>
      </c>
    </row>
    <row r="40" ht="14.25" customHeight="1" spans="1:119" s="165" customFormat="1" x14ac:dyDescent="0.25">
      <c r="A40" s="271" t="s">
        <v>790</v>
      </c>
      <c r="B40" s="167" t="s">
        <v>869</v>
      </c>
      <c r="C40" s="272" t="s">
        <v>975</v>
      </c>
      <c r="D40" s="273" t="s">
        <v>1335</v>
      </c>
      <c r="E40" s="273" t="s">
        <v>502</v>
      </c>
      <c r="F40" s="274" t="s">
        <v>1336</v>
      </c>
      <c r="G40" s="170">
        <v>45376</v>
      </c>
      <c r="H40" s="274"/>
      <c r="I40" s="274"/>
      <c r="J40" s="274"/>
      <c r="K40" s="274"/>
      <c r="L40" s="274"/>
      <c r="M40" s="274"/>
      <c r="N40" s="274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737</v>
      </c>
      <c r="B41" s="185" t="s">
        <v>869</v>
      </c>
      <c r="C41" s="275" t="s">
        <v>1337</v>
      </c>
      <c r="D41" s="234" t="s">
        <v>1338</v>
      </c>
      <c r="E41" s="234" t="s">
        <v>502</v>
      </c>
      <c r="F41" s="235" t="s">
        <v>1300</v>
      </c>
      <c r="G41" s="188">
        <v>45376</v>
      </c>
      <c r="H41" s="235"/>
      <c r="I41" s="235"/>
      <c r="J41" s="235"/>
      <c r="K41" s="235"/>
      <c r="L41" s="235"/>
      <c r="M41" s="235"/>
      <c r="N41" s="235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15</v>
      </c>
      <c r="DH41" s="182">
        <v>0</v>
      </c>
      <c r="DI41" s="174">
        <v>2.5</v>
      </c>
      <c r="DJ41" s="196">
        <f t="shared" si="50"/>
        <v>17.5</v>
      </c>
      <c r="DK41" s="196">
        <f t="shared" si="51"/>
        <v>17.5</v>
      </c>
      <c r="DL41" s="182">
        <v>0</v>
      </c>
      <c r="DM41" s="174">
        <v>2.5</v>
      </c>
      <c r="DN41" s="196">
        <f t="shared" si="52"/>
        <v>20</v>
      </c>
      <c r="DO41" s="196">
        <f t="shared" si="53"/>
        <v>20</v>
      </c>
    </row>
    <row r="42" ht="14.25" customHeight="1" spans="1:119" x14ac:dyDescent="0.25">
      <c r="A42" s="32" t="s">
        <v>747</v>
      </c>
      <c r="B42" s="185" t="s">
        <v>869</v>
      </c>
      <c r="C42" s="275" t="s">
        <v>979</v>
      </c>
      <c r="D42" s="234" t="s">
        <v>1339</v>
      </c>
      <c r="E42" s="234" t="s">
        <v>502</v>
      </c>
      <c r="F42" s="235" t="s">
        <v>1300</v>
      </c>
      <c r="G42" s="188">
        <v>45376</v>
      </c>
      <c r="H42" s="235"/>
      <c r="I42" s="235"/>
      <c r="J42" s="235"/>
      <c r="K42" s="235"/>
      <c r="L42" s="235"/>
      <c r="M42" s="235"/>
      <c r="N42" s="235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80" t="s">
        <v>981</v>
      </c>
      <c r="B43" s="281" t="s">
        <v>869</v>
      </c>
      <c r="C43" s="282" t="s">
        <v>1340</v>
      </c>
      <c r="D43" s="238" t="s">
        <v>1341</v>
      </c>
      <c r="E43" s="238" t="s">
        <v>811</v>
      </c>
      <c r="F43" s="239" t="s">
        <v>1300</v>
      </c>
      <c r="G43" s="221">
        <v>45376</v>
      </c>
      <c r="H43" s="239"/>
      <c r="I43" s="239"/>
      <c r="J43" s="239"/>
      <c r="K43" s="239"/>
      <c r="L43" s="239"/>
      <c r="M43" s="239"/>
      <c r="N43" s="239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>
        <v>0.5</v>
      </c>
      <c r="AI43" s="230"/>
      <c r="AJ43" s="230">
        <f t="shared" si="96"/>
        <v>3</v>
      </c>
      <c r="AK43" s="230"/>
      <c r="AL43" s="230">
        <f t="shared" si="97"/>
        <v>5.5</v>
      </c>
      <c r="AM43" s="230"/>
      <c r="AN43" s="230">
        <f t="shared" si="98"/>
        <v>8</v>
      </c>
      <c r="AO43" s="230"/>
      <c r="AP43" s="230">
        <f t="shared" si="99"/>
        <v>10.5</v>
      </c>
      <c r="AQ43" s="230"/>
      <c r="AR43" s="230">
        <f t="shared" si="100"/>
        <v>13</v>
      </c>
      <c r="AS43" s="230"/>
      <c r="AT43" s="230">
        <f t="shared" si="101"/>
        <v>15.5</v>
      </c>
      <c r="AU43" s="230">
        <v>14</v>
      </c>
      <c r="AV43" s="230">
        <f t="shared" si="102"/>
        <v>4</v>
      </c>
      <c r="AW43" s="230"/>
      <c r="AX43" s="230">
        <f t="shared" si="103"/>
        <v>6.5</v>
      </c>
      <c r="AY43" s="230"/>
      <c r="AZ43" s="230">
        <f t="shared" si="104"/>
        <v>9</v>
      </c>
      <c r="BA43" s="230"/>
      <c r="BB43" s="230">
        <f t="shared" si="107"/>
        <v>11.5</v>
      </c>
      <c r="BC43" s="230">
        <v>1</v>
      </c>
      <c r="BD43" s="230">
        <f t="shared" si="106"/>
        <v>13</v>
      </c>
      <c r="BE43" s="230"/>
      <c r="BF43" s="230">
        <f t="shared" si="83"/>
        <v>15.5</v>
      </c>
      <c r="BG43" s="230"/>
      <c r="BH43" s="230">
        <f t="shared" si="78"/>
        <v>18</v>
      </c>
      <c r="BI43" s="230"/>
      <c r="BJ43" s="230">
        <f t="shared" si="79"/>
        <v>20.5</v>
      </c>
      <c r="BK43" s="230">
        <v>3</v>
      </c>
      <c r="BL43" s="230">
        <f t="shared" si="108"/>
        <v>20</v>
      </c>
      <c r="BM43" s="230">
        <v>5</v>
      </c>
      <c r="BN43" s="230">
        <f t="shared" si="27"/>
        <v>17.5</v>
      </c>
      <c r="BO43" s="230"/>
      <c r="BP43" s="230">
        <f t="shared" si="28"/>
        <v>20</v>
      </c>
      <c r="BQ43" s="230"/>
      <c r="BR43" s="230">
        <f t="shared" si="29"/>
        <v>22.5</v>
      </c>
      <c r="BS43" s="230"/>
      <c r="BT43" s="230">
        <f t="shared" si="30"/>
        <v>25</v>
      </c>
      <c r="BU43" s="230"/>
      <c r="BV43" s="230">
        <f t="shared" si="81"/>
        <v>27.5</v>
      </c>
      <c r="BW43" s="230"/>
      <c r="BX43" s="230">
        <f t="shared" si="32"/>
        <v>30</v>
      </c>
      <c r="BY43" s="230"/>
      <c r="BZ43" s="231">
        <f t="shared" si="33"/>
        <v>32.5</v>
      </c>
      <c r="CA43" s="230"/>
      <c r="CB43" s="231">
        <f t="shared" si="34"/>
        <v>35</v>
      </c>
      <c r="CC43" s="231"/>
      <c r="CD43" s="231">
        <f t="shared" si="35"/>
        <v>37.5</v>
      </c>
      <c r="CE43" s="228"/>
      <c r="CF43" s="59"/>
      <c r="CG43" s="59">
        <v>2.5</v>
      </c>
      <c r="CH43" s="228">
        <f t="shared" si="36"/>
        <v>40</v>
      </c>
      <c r="CI43" s="228">
        <f t="shared" si="37"/>
        <v>40</v>
      </c>
      <c r="CJ43" s="59"/>
      <c r="CK43" s="59">
        <v>2.5</v>
      </c>
      <c r="CL43" s="228">
        <f t="shared" si="38"/>
        <v>42.5</v>
      </c>
      <c r="CM43" s="228">
        <f t="shared" si="39"/>
        <v>42.5</v>
      </c>
      <c r="CN43" s="225">
        <v>0</v>
      </c>
      <c r="CO43" s="59">
        <v>2.5</v>
      </c>
      <c r="CP43" s="228">
        <f t="shared" si="40"/>
        <v>45</v>
      </c>
      <c r="CQ43" s="228">
        <f t="shared" si="41"/>
        <v>45</v>
      </c>
      <c r="CR43" s="283">
        <v>3</v>
      </c>
      <c r="CS43" s="59">
        <v>2.5</v>
      </c>
      <c r="CT43" s="228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28">
        <f t="shared" si="44"/>
        <v>47</v>
      </c>
      <c r="CY43" s="228">
        <f t="shared" si="45"/>
        <v>47</v>
      </c>
      <c r="CZ43" s="232">
        <v>0</v>
      </c>
      <c r="DA43" s="59">
        <v>2.5</v>
      </c>
      <c r="DB43" s="228">
        <f t="shared" si="46"/>
        <v>49.5</v>
      </c>
      <c r="DC43" s="228">
        <f t="shared" si="47"/>
        <v>49.5</v>
      </c>
      <c r="DD43" s="232">
        <v>11</v>
      </c>
      <c r="DE43" s="59">
        <v>2.5</v>
      </c>
      <c r="DF43" s="228">
        <f t="shared" si="48"/>
        <v>52</v>
      </c>
      <c r="DG43" s="228">
        <f t="shared" si="49"/>
        <v>41</v>
      </c>
      <c r="DH43" s="232">
        <v>0</v>
      </c>
      <c r="DI43" s="59">
        <v>2.5</v>
      </c>
      <c r="DJ43" s="228">
        <f t="shared" si="50"/>
        <v>43.5</v>
      </c>
      <c r="DK43" s="228">
        <f t="shared" si="51"/>
        <v>43.5</v>
      </c>
      <c r="DL43" s="232">
        <v>0</v>
      </c>
      <c r="DM43" s="59">
        <v>2.5</v>
      </c>
      <c r="DN43" s="228">
        <f t="shared" si="52"/>
        <v>46</v>
      </c>
      <c r="DO43" s="228">
        <f t="shared" si="53"/>
        <v>46</v>
      </c>
    </row>
    <row r="44" ht="14.25" customHeight="1" spans="1:119" s="165" customFormat="1" x14ac:dyDescent="0.25">
      <c r="A44" s="284" t="s">
        <v>398</v>
      </c>
      <c r="B44" s="285" t="s">
        <v>869</v>
      </c>
      <c r="C44" s="286" t="s">
        <v>1342</v>
      </c>
      <c r="D44" s="273" t="s">
        <v>1343</v>
      </c>
      <c r="E44" s="273" t="s">
        <v>1344</v>
      </c>
      <c r="F44" s="274" t="s">
        <v>1300</v>
      </c>
      <c r="G44" s="170">
        <v>45414</v>
      </c>
      <c r="H44" s="274"/>
      <c r="I44" s="274"/>
      <c r="J44" s="274"/>
      <c r="K44" s="274"/>
      <c r="L44" s="274"/>
      <c r="M44" s="274"/>
      <c r="N44" s="274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7</v>
      </c>
      <c r="DE44" s="174">
        <v>2.5</v>
      </c>
      <c r="DF44" s="179">
        <f t="shared" si="48"/>
        <v>73</v>
      </c>
      <c r="DG44" s="179">
        <f t="shared" si="49"/>
        <v>66</v>
      </c>
      <c r="DH44" s="182">
        <v>0</v>
      </c>
      <c r="DI44" s="174">
        <v>2.5</v>
      </c>
      <c r="DJ44" s="179">
        <f t="shared" si="50"/>
        <v>68.5</v>
      </c>
      <c r="DK44" s="179">
        <f t="shared" si="51"/>
        <v>68.5</v>
      </c>
      <c r="DL44" s="182">
        <v>0</v>
      </c>
      <c r="DM44" s="174">
        <v>2.5</v>
      </c>
      <c r="DN44" s="179">
        <f t="shared" si="52"/>
        <v>71</v>
      </c>
      <c r="DO44" s="179">
        <f t="shared" si="53"/>
        <v>71</v>
      </c>
    </row>
    <row r="45" ht="14.25" customHeight="1" spans="1:119" x14ac:dyDescent="0.25">
      <c r="A45" s="194" t="s">
        <v>986</v>
      </c>
      <c r="B45" s="287" t="s">
        <v>869</v>
      </c>
      <c r="C45" s="186" t="s">
        <v>1345</v>
      </c>
      <c r="D45" s="234" t="s">
        <v>1346</v>
      </c>
      <c r="E45" s="234" t="s">
        <v>100</v>
      </c>
      <c r="F45" s="235" t="s">
        <v>1347</v>
      </c>
      <c r="G45" s="188">
        <v>45495</v>
      </c>
      <c r="H45" s="235"/>
      <c r="I45" s="235"/>
      <c r="J45" s="235"/>
      <c r="K45" s="235"/>
      <c r="L45" s="235"/>
      <c r="M45" s="235"/>
      <c r="N45" s="235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8</v>
      </c>
      <c r="DE45" s="174">
        <v>2.5</v>
      </c>
      <c r="DF45" s="196">
        <f t="shared" si="48"/>
        <v>38.5</v>
      </c>
      <c r="DG45" s="196">
        <f t="shared" si="49"/>
        <v>30.5</v>
      </c>
      <c r="DH45" s="182">
        <v>0</v>
      </c>
      <c r="DI45" s="174">
        <v>2.5</v>
      </c>
      <c r="DJ45" s="196">
        <f t="shared" si="50"/>
        <v>33</v>
      </c>
      <c r="DK45" s="196">
        <f t="shared" si="51"/>
        <v>33</v>
      </c>
      <c r="DL45" s="182">
        <v>0</v>
      </c>
      <c r="DM45" s="174">
        <v>2.5</v>
      </c>
      <c r="DN45" s="196">
        <f t="shared" si="52"/>
        <v>35.5</v>
      </c>
      <c r="DO45" s="196">
        <f t="shared" si="53"/>
        <v>35.5</v>
      </c>
    </row>
    <row r="46" ht="14.25" customHeight="1" spans="1:119" x14ac:dyDescent="0.25">
      <c r="A46" s="184" t="s">
        <v>989</v>
      </c>
      <c r="B46" s="288" t="s">
        <v>869</v>
      </c>
      <c r="C46" s="186" t="s">
        <v>1348</v>
      </c>
      <c r="D46" s="234" t="s">
        <v>1349</v>
      </c>
      <c r="E46" s="234" t="s">
        <v>502</v>
      </c>
      <c r="F46" s="235" t="s">
        <v>1347</v>
      </c>
      <c r="G46" s="188">
        <v>45537</v>
      </c>
      <c r="H46" s="235"/>
      <c r="I46" s="235"/>
      <c r="J46" s="235"/>
      <c r="K46" s="235"/>
      <c r="L46" s="235"/>
      <c r="M46" s="235"/>
      <c r="N46" s="235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9" customFormat="1" x14ac:dyDescent="0.25">
      <c r="A47" s="290" t="s">
        <v>991</v>
      </c>
      <c r="B47" s="291" t="s">
        <v>869</v>
      </c>
      <c r="C47" s="292" t="s">
        <v>1350</v>
      </c>
      <c r="D47" s="293" t="s">
        <v>1351</v>
      </c>
      <c r="E47" s="293" t="s">
        <v>1352</v>
      </c>
      <c r="F47" s="294" t="s">
        <v>1347</v>
      </c>
      <c r="G47" s="295">
        <v>45537</v>
      </c>
      <c r="H47" s="294"/>
      <c r="I47" s="294"/>
      <c r="J47" s="294"/>
      <c r="K47" s="294"/>
      <c r="L47" s="294"/>
      <c r="M47" s="294"/>
      <c r="N47" s="294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>
        <f t="shared" si="101"/>
        <v>2.5</v>
      </c>
      <c r="AU47" s="296">
        <v>14</v>
      </c>
      <c r="AV47" s="296">
        <f t="shared" si="102"/>
        <v>-9</v>
      </c>
      <c r="AW47" s="296"/>
      <c r="AX47" s="296">
        <f t="shared" si="103"/>
        <v>-6.5</v>
      </c>
      <c r="AY47" s="296"/>
      <c r="AZ47" s="296">
        <f t="shared" si="104"/>
        <v>-4</v>
      </c>
      <c r="BA47" s="296"/>
      <c r="BB47" s="296">
        <f t="shared" si="107"/>
        <v>-1.5</v>
      </c>
      <c r="BC47" s="296"/>
      <c r="BD47" s="296">
        <f t="shared" si="106"/>
        <v>1</v>
      </c>
      <c r="BE47" s="296">
        <v>3</v>
      </c>
      <c r="BF47" s="296">
        <f t="shared" si="83"/>
        <v>0.5</v>
      </c>
      <c r="BG47" s="296"/>
      <c r="BH47" s="296">
        <f t="shared" si="78"/>
        <v>3</v>
      </c>
      <c r="BI47" s="296"/>
      <c r="BJ47" s="296">
        <f t="shared" si="79"/>
        <v>5.5</v>
      </c>
      <c r="BK47" s="296"/>
      <c r="BL47" s="296">
        <f t="shared" si="108"/>
        <v>8</v>
      </c>
      <c r="BM47" s="296">
        <v>10</v>
      </c>
      <c r="BN47" s="296">
        <f t="shared" si="27"/>
        <v>0.5</v>
      </c>
      <c r="BO47" s="296">
        <v>10</v>
      </c>
      <c r="BP47" s="296">
        <f t="shared" si="28"/>
        <v>-7</v>
      </c>
      <c r="BQ47" s="296"/>
      <c r="BR47" s="296">
        <f t="shared" si="29"/>
        <v>-4.5</v>
      </c>
      <c r="BS47" s="296"/>
      <c r="BT47" s="296">
        <f t="shared" si="30"/>
        <v>-2</v>
      </c>
      <c r="BU47" s="296"/>
      <c r="BV47" s="296">
        <f t="shared" si="81"/>
        <v>0.5</v>
      </c>
      <c r="BW47" s="296">
        <v>7</v>
      </c>
      <c r="BX47" s="296">
        <f t="shared" si="32"/>
        <v>-4</v>
      </c>
      <c r="BY47" s="296">
        <v>23</v>
      </c>
      <c r="BZ47" s="297">
        <f t="shared" si="33"/>
        <v>-24.5</v>
      </c>
      <c r="CA47" s="296"/>
      <c r="CB47" s="297">
        <f t="shared" si="34"/>
        <v>-22</v>
      </c>
      <c r="CC47" s="297"/>
      <c r="CD47" s="297">
        <f t="shared" si="35"/>
        <v>-19.5</v>
      </c>
      <c r="CE47" s="298"/>
      <c r="CF47" s="299"/>
      <c r="CG47" s="299">
        <v>2.5</v>
      </c>
      <c r="CH47" s="298">
        <f t="shared" si="36"/>
        <v>-17</v>
      </c>
      <c r="CI47" s="298">
        <f t="shared" si="37"/>
        <v>-17</v>
      </c>
      <c r="CJ47" s="299"/>
      <c r="CK47" s="299">
        <v>2.5</v>
      </c>
      <c r="CL47" s="298">
        <f t="shared" si="38"/>
        <v>-14.5</v>
      </c>
      <c r="CM47" s="298">
        <f t="shared" si="39"/>
        <v>-14.5</v>
      </c>
      <c r="CN47" s="300">
        <v>0</v>
      </c>
      <c r="CO47" s="299">
        <v>2.5</v>
      </c>
      <c r="CP47" s="298">
        <f t="shared" si="40"/>
        <v>-12</v>
      </c>
      <c r="CQ47" s="298">
        <f t="shared" si="41"/>
        <v>-12</v>
      </c>
      <c r="CR47" s="301">
        <v>21</v>
      </c>
      <c r="CS47" s="299">
        <v>2.5</v>
      </c>
      <c r="CT47" s="298">
        <f t="shared" si="42"/>
        <v>-9.5</v>
      </c>
      <c r="CU47" s="302">
        <f t="shared" si="43"/>
        <v>-30.5</v>
      </c>
      <c r="CV47" s="301">
        <v>0</v>
      </c>
      <c r="CW47" s="299">
        <v>2.5</v>
      </c>
      <c r="CX47" s="298">
        <f t="shared" si="44"/>
        <v>-28</v>
      </c>
      <c r="CY47" s="298">
        <f t="shared" si="45"/>
        <v>-28</v>
      </c>
      <c r="CZ47" s="301">
        <v>0</v>
      </c>
      <c r="DA47" s="299">
        <v>2.5</v>
      </c>
      <c r="DB47" s="298">
        <f t="shared" si="46"/>
        <v>-25.5</v>
      </c>
      <c r="DC47" s="298">
        <f t="shared" si="47"/>
        <v>-25.5</v>
      </c>
      <c r="DD47" s="182">
        <v>0</v>
      </c>
      <c r="DE47" s="174">
        <v>2.5</v>
      </c>
      <c r="DF47" s="298">
        <f t="shared" si="48"/>
        <v>-23</v>
      </c>
      <c r="DG47" s="298">
        <f t="shared" si="49"/>
        <v>-23</v>
      </c>
      <c r="DH47" s="182">
        <v>0</v>
      </c>
      <c r="DI47" s="174">
        <v>2.5</v>
      </c>
      <c r="DJ47" s="298">
        <f t="shared" si="50"/>
        <v>-20.5</v>
      </c>
      <c r="DK47" s="298">
        <f t="shared" si="51"/>
        <v>-20.5</v>
      </c>
      <c r="DL47" s="182">
        <v>0</v>
      </c>
      <c r="DM47" s="174">
        <v>2.5</v>
      </c>
      <c r="DN47" s="298">
        <f t="shared" si="52"/>
        <v>-18</v>
      </c>
      <c r="DO47" s="298">
        <f t="shared" si="53"/>
        <v>-18</v>
      </c>
    </row>
    <row r="48" ht="14.25" customHeight="1" spans="1:119" x14ac:dyDescent="0.25">
      <c r="A48" s="184" t="s">
        <v>994</v>
      </c>
      <c r="B48" s="288" t="s">
        <v>869</v>
      </c>
      <c r="C48" s="186" t="s">
        <v>995</v>
      </c>
      <c r="D48" s="234" t="s">
        <v>1353</v>
      </c>
      <c r="E48" s="234" t="s">
        <v>502</v>
      </c>
      <c r="F48" s="235" t="s">
        <v>1347</v>
      </c>
      <c r="G48" s="188">
        <v>45537</v>
      </c>
      <c r="H48" s="235"/>
      <c r="I48" s="235"/>
      <c r="J48" s="235"/>
      <c r="K48" s="235"/>
      <c r="L48" s="235"/>
      <c r="M48" s="235"/>
      <c r="N48" s="235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81</v>
      </c>
      <c r="B49" s="288" t="s">
        <v>869</v>
      </c>
      <c r="C49" s="186" t="s">
        <v>997</v>
      </c>
      <c r="D49" s="234" t="s">
        <v>1354</v>
      </c>
      <c r="E49" s="234" t="s">
        <v>1355</v>
      </c>
      <c r="F49" s="235" t="s">
        <v>1347</v>
      </c>
      <c r="G49" s="188">
        <v>45575</v>
      </c>
      <c r="H49" s="235"/>
      <c r="I49" s="235"/>
      <c r="J49" s="235"/>
      <c r="K49" s="235"/>
      <c r="L49" s="235"/>
      <c r="M49" s="235"/>
      <c r="N49" s="235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1316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30" t="s">
        <v>232</v>
      </c>
      <c r="B50" s="303" t="s">
        <v>869</v>
      </c>
      <c r="C50" s="219" t="s">
        <v>1000</v>
      </c>
      <c r="D50" s="238" t="s">
        <v>1356</v>
      </c>
      <c r="E50" s="238" t="s">
        <v>1002</v>
      </c>
      <c r="F50" s="239" t="s">
        <v>1357</v>
      </c>
      <c r="G50" s="221">
        <v>45677</v>
      </c>
      <c r="H50" s="239"/>
      <c r="I50" s="239"/>
      <c r="J50" s="239"/>
      <c r="K50" s="239"/>
      <c r="L50" s="239"/>
      <c r="M50" s="239"/>
      <c r="N50" s="239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>
        <v>1</v>
      </c>
      <c r="BC50" s="230"/>
      <c r="BD50" s="230">
        <f t="shared" si="106"/>
        <v>3.5</v>
      </c>
      <c r="BE50" s="230">
        <v>1</v>
      </c>
      <c r="BF50" s="230">
        <f t="shared" si="83"/>
        <v>5</v>
      </c>
      <c r="BG50" s="230"/>
      <c r="BH50" s="230">
        <f t="shared" si="78"/>
        <v>7.5</v>
      </c>
      <c r="BI50" s="230"/>
      <c r="BJ50" s="230">
        <f t="shared" si="79"/>
        <v>10</v>
      </c>
      <c r="BK50" s="230"/>
      <c r="BL50" s="230">
        <f t="shared" si="108"/>
        <v>12.5</v>
      </c>
      <c r="BM50" s="230"/>
      <c r="BN50" s="230">
        <f t="shared" si="27"/>
        <v>15</v>
      </c>
      <c r="BO50" s="230"/>
      <c r="BP50" s="230">
        <f t="shared" si="28"/>
        <v>17.5</v>
      </c>
      <c r="BQ50" s="230"/>
      <c r="BR50" s="230">
        <f t="shared" si="29"/>
        <v>20</v>
      </c>
      <c r="BS50" s="230"/>
      <c r="BT50" s="230">
        <f t="shared" si="30"/>
        <v>22.5</v>
      </c>
      <c r="BU50" s="230"/>
      <c r="BV50" s="230">
        <f t="shared" si="81"/>
        <v>25</v>
      </c>
      <c r="BW50" s="230">
        <v>1</v>
      </c>
      <c r="BX50" s="230">
        <f t="shared" si="32"/>
        <v>26.5</v>
      </c>
      <c r="BY50" s="230">
        <v>10</v>
      </c>
      <c r="BZ50" s="231">
        <f t="shared" si="33"/>
        <v>19</v>
      </c>
      <c r="CA50" s="230"/>
      <c r="CB50" s="231">
        <f t="shared" si="34"/>
        <v>21.5</v>
      </c>
      <c r="CC50" s="231"/>
      <c r="CD50" s="231">
        <f t="shared" si="35"/>
        <v>24</v>
      </c>
      <c r="CE50" s="228"/>
      <c r="CF50" s="59"/>
      <c r="CG50" s="59">
        <v>2.5</v>
      </c>
      <c r="CH50" s="228">
        <f t="shared" si="36"/>
        <v>26.5</v>
      </c>
      <c r="CI50" s="228">
        <f t="shared" si="37"/>
        <v>26.5</v>
      </c>
      <c r="CJ50" s="59"/>
      <c r="CK50" s="59">
        <v>2.5</v>
      </c>
      <c r="CL50" s="228">
        <f t="shared" si="38"/>
        <v>29</v>
      </c>
      <c r="CM50" s="228">
        <f t="shared" si="39"/>
        <v>29</v>
      </c>
      <c r="CN50" s="225">
        <v>0</v>
      </c>
      <c r="CO50" s="59">
        <v>2.5</v>
      </c>
      <c r="CP50" s="228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28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28">
        <f t="shared" si="45"/>
        <v>36.5</v>
      </c>
      <c r="CZ50" s="199">
        <v>2</v>
      </c>
      <c r="DA50" s="39">
        <v>2.5</v>
      </c>
      <c r="DB50" s="228">
        <f t="shared" si="46"/>
        <v>39</v>
      </c>
      <c r="DC50" s="228">
        <f t="shared" si="47"/>
        <v>37</v>
      </c>
      <c r="DD50" s="182">
        <v>0</v>
      </c>
      <c r="DE50" s="174">
        <v>2.5</v>
      </c>
      <c r="DF50" s="228">
        <f t="shared" si="48"/>
        <v>39.5</v>
      </c>
      <c r="DG50" s="228">
        <f t="shared" si="49"/>
        <v>39.5</v>
      </c>
      <c r="DH50" s="182">
        <v>0</v>
      </c>
      <c r="DI50" s="174">
        <v>2.5</v>
      </c>
      <c r="DJ50" s="228">
        <f t="shared" si="50"/>
        <v>42</v>
      </c>
      <c r="DK50" s="228">
        <f t="shared" si="51"/>
        <v>42</v>
      </c>
      <c r="DL50" s="182">
        <v>0</v>
      </c>
      <c r="DM50" s="174">
        <v>2.5</v>
      </c>
      <c r="DN50" s="228">
        <f t="shared" si="52"/>
        <v>44.5</v>
      </c>
      <c r="DO50" s="228">
        <f t="shared" si="53"/>
        <v>44.5</v>
      </c>
    </row>
    <row r="51" ht="14.25" customHeight="1" hidden="1" spans="1:119" s="240" customFormat="1" x14ac:dyDescent="0.25">
      <c r="A51" s="247" t="s">
        <v>327</v>
      </c>
      <c r="B51" s="304" t="s">
        <v>869</v>
      </c>
      <c r="C51" s="305" t="s">
        <v>1358</v>
      </c>
      <c r="D51" s="244" t="s">
        <v>1359</v>
      </c>
      <c r="E51" s="244" t="s">
        <v>1360</v>
      </c>
      <c r="F51" s="245" t="s">
        <v>1357</v>
      </c>
      <c r="G51" s="246">
        <v>45870</v>
      </c>
      <c r="H51" s="245"/>
      <c r="I51" s="245"/>
      <c r="J51" s="245"/>
      <c r="K51" s="245"/>
      <c r="L51" s="245"/>
      <c r="M51" s="245"/>
      <c r="N51" s="245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>
        <f t="shared" si="28"/>
        <v>2.5</v>
      </c>
      <c r="BQ51" s="247"/>
      <c r="BR51" s="247">
        <f t="shared" si="29"/>
        <v>5</v>
      </c>
      <c r="BS51" s="247"/>
      <c r="BT51" s="247">
        <f t="shared" si="30"/>
        <v>7.5</v>
      </c>
      <c r="BU51" s="247"/>
      <c r="BV51" s="247">
        <f t="shared" si="81"/>
        <v>10</v>
      </c>
      <c r="BW51" s="247"/>
      <c r="BX51" s="247">
        <f t="shared" si="32"/>
        <v>12.5</v>
      </c>
      <c r="BY51" s="247">
        <v>9</v>
      </c>
      <c r="BZ51" s="249">
        <f t="shared" si="33"/>
        <v>6</v>
      </c>
      <c r="CA51" s="247"/>
      <c r="CB51" s="249">
        <f t="shared" si="34"/>
        <v>8.5</v>
      </c>
      <c r="CC51" s="249"/>
      <c r="CD51" s="249">
        <f t="shared" si="35"/>
        <v>11</v>
      </c>
      <c r="CE51" s="250"/>
      <c r="CF51" s="251"/>
      <c r="CG51" s="251">
        <v>2.5</v>
      </c>
      <c r="CH51" s="250">
        <f t="shared" si="36"/>
        <v>13.5</v>
      </c>
      <c r="CI51" s="250">
        <f t="shared" si="37"/>
        <v>13.5</v>
      </c>
      <c r="CJ51" s="251"/>
      <c r="CK51" s="251">
        <v>2.5</v>
      </c>
      <c r="CL51" s="250">
        <f t="shared" si="38"/>
        <v>16</v>
      </c>
      <c r="CM51" s="250">
        <f t="shared" si="39"/>
        <v>16</v>
      </c>
      <c r="CN51" s="252">
        <v>0</v>
      </c>
      <c r="CO51" s="251">
        <v>2.5</v>
      </c>
      <c r="CP51" s="250">
        <f t="shared" si="40"/>
        <v>18.5</v>
      </c>
      <c r="CQ51" s="198">
        <f t="shared" si="41"/>
        <v>18.5</v>
      </c>
      <c r="CR51" s="253">
        <v>0</v>
      </c>
      <c r="CS51" s="251">
        <v>2.5</v>
      </c>
      <c r="CT51" s="250">
        <f t="shared" si="42"/>
        <v>21</v>
      </c>
      <c r="CU51" s="254">
        <f t="shared" si="43"/>
        <v>21</v>
      </c>
      <c r="CV51" s="253">
        <v>0</v>
      </c>
      <c r="CW51" s="251">
        <v>2.5</v>
      </c>
      <c r="CX51" s="250">
        <f t="shared" si="44"/>
        <v>23.5</v>
      </c>
      <c r="CY51" s="250">
        <f t="shared" si="45"/>
        <v>23.5</v>
      </c>
      <c r="CZ51" s="253">
        <v>0</v>
      </c>
      <c r="DA51" s="251">
        <v>2.5</v>
      </c>
      <c r="DB51" s="250">
        <f t="shared" si="46"/>
        <v>26</v>
      </c>
      <c r="DC51" s="250">
        <f t="shared" si="47"/>
        <v>26</v>
      </c>
      <c r="DD51" s="182">
        <v>0</v>
      </c>
      <c r="DE51" s="174">
        <v>2.5</v>
      </c>
      <c r="DF51" s="250">
        <f t="shared" si="48"/>
        <v>28.5</v>
      </c>
      <c r="DG51" s="250">
        <f t="shared" si="49"/>
        <v>28.5</v>
      </c>
      <c r="DH51" s="182">
        <v>0</v>
      </c>
      <c r="DI51" s="174">
        <v>2.5</v>
      </c>
      <c r="DJ51" s="250">
        <f t="shared" si="50"/>
        <v>31</v>
      </c>
      <c r="DK51" s="250">
        <f t="shared" si="51"/>
        <v>31</v>
      </c>
      <c r="DL51" s="182">
        <v>0</v>
      </c>
      <c r="DM51" s="174">
        <v>2.5</v>
      </c>
      <c r="DN51" s="250">
        <f t="shared" si="52"/>
        <v>33.5</v>
      </c>
      <c r="DO51" s="250">
        <f t="shared" si="53"/>
        <v>33.5</v>
      </c>
    </row>
    <row r="52" ht="14.25" customHeight="1" hidden="1" spans="1:119" s="240" customFormat="1" x14ac:dyDescent="0.25">
      <c r="A52" s="306" t="s">
        <v>1361</v>
      </c>
      <c r="B52" s="251" t="s">
        <v>869</v>
      </c>
      <c r="C52" s="307" t="s">
        <v>1362</v>
      </c>
      <c r="D52" s="244" t="s">
        <v>1363</v>
      </c>
      <c r="E52" s="244" t="s">
        <v>1002</v>
      </c>
      <c r="F52" s="245"/>
      <c r="G52" s="246">
        <v>46051</v>
      </c>
      <c r="H52" s="245"/>
      <c r="I52" s="245"/>
      <c r="J52" s="245"/>
      <c r="K52" s="245"/>
      <c r="L52" s="245"/>
      <c r="M52" s="245"/>
      <c r="N52" s="245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7"/>
      <c r="BH52" s="247"/>
      <c r="BI52" s="247"/>
      <c r="BJ52" s="247"/>
      <c r="BK52" s="247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  <c r="BX52" s="247"/>
      <c r="BY52" s="247"/>
      <c r="BZ52" s="249">
        <v>0.91</v>
      </c>
      <c r="CA52" s="247"/>
      <c r="CB52" s="249">
        <f t="shared" si="34"/>
        <v>3.41</v>
      </c>
      <c r="CC52" s="249"/>
      <c r="CD52" s="249">
        <f t="shared" si="35"/>
        <v>5.91</v>
      </c>
      <c r="CE52" s="250"/>
      <c r="CF52" s="251"/>
      <c r="CG52" s="251">
        <v>2.5</v>
      </c>
      <c r="CH52" s="250">
        <f t="shared" si="36"/>
        <v>8.41</v>
      </c>
      <c r="CI52" s="250">
        <f t="shared" si="37"/>
        <v>8.41</v>
      </c>
      <c r="CJ52" s="251"/>
      <c r="CK52" s="251">
        <v>2.5</v>
      </c>
      <c r="CL52" s="250">
        <f t="shared" si="38"/>
        <v>10.91</v>
      </c>
      <c r="CM52" s="250">
        <f t="shared" si="39"/>
        <v>10.91</v>
      </c>
      <c r="CN52" s="252">
        <v>0</v>
      </c>
      <c r="CO52" s="251">
        <v>2.5</v>
      </c>
      <c r="CP52" s="250">
        <f t="shared" si="40"/>
        <v>13.41</v>
      </c>
      <c r="CQ52" s="198">
        <f t="shared" si="41"/>
        <v>13.41</v>
      </c>
      <c r="CR52" s="253">
        <v>0</v>
      </c>
      <c r="CS52" s="251">
        <v>2.5</v>
      </c>
      <c r="CT52" s="250">
        <f t="shared" si="42"/>
        <v>15.91</v>
      </c>
      <c r="CU52" s="254">
        <f t="shared" si="43"/>
        <v>15.91</v>
      </c>
      <c r="CV52" s="253">
        <v>0</v>
      </c>
      <c r="CW52" s="251">
        <v>2.5</v>
      </c>
      <c r="CX52" s="250">
        <f t="shared" si="44"/>
        <v>18.41</v>
      </c>
      <c r="CY52" s="250">
        <f t="shared" si="45"/>
        <v>18.41</v>
      </c>
      <c r="CZ52" s="253">
        <v>0</v>
      </c>
      <c r="DA52" s="251">
        <v>2.5</v>
      </c>
      <c r="DB52" s="250">
        <f t="shared" si="46"/>
        <v>20.91</v>
      </c>
      <c r="DC52" s="250">
        <f t="shared" si="47"/>
        <v>20.91</v>
      </c>
      <c r="DD52" s="182">
        <v>0</v>
      </c>
      <c r="DE52" s="174">
        <v>2.5</v>
      </c>
      <c r="DF52" s="250">
        <f t="shared" si="48"/>
        <v>23.41</v>
      </c>
      <c r="DG52" s="250">
        <f t="shared" si="49"/>
        <v>23.41</v>
      </c>
      <c r="DH52" s="182">
        <v>0</v>
      </c>
      <c r="DI52" s="174">
        <v>2.5</v>
      </c>
      <c r="DJ52" s="250">
        <f t="shared" si="50"/>
        <v>25.91</v>
      </c>
      <c r="DK52" s="250">
        <f t="shared" si="51"/>
        <v>25.91</v>
      </c>
      <c r="DL52" s="182">
        <v>0</v>
      </c>
      <c r="DM52" s="174">
        <v>2.5</v>
      </c>
      <c r="DN52" s="250">
        <f t="shared" si="52"/>
        <v>28.41</v>
      </c>
      <c r="DO52" s="250">
        <f t="shared" si="53"/>
        <v>28.41</v>
      </c>
    </row>
    <row r="53" ht="14.25" customHeight="1" hidden="1" spans="1:119" s="240" customFormat="1" x14ac:dyDescent="0.25">
      <c r="A53" s="306" t="s">
        <v>1364</v>
      </c>
      <c r="B53" s="251" t="s">
        <v>869</v>
      </c>
      <c r="C53" s="307" t="s">
        <v>1365</v>
      </c>
      <c r="D53" s="244" t="s">
        <v>1366</v>
      </c>
      <c r="E53" s="244" t="s">
        <v>1002</v>
      </c>
      <c r="F53" s="245"/>
      <c r="G53" s="246">
        <v>46050</v>
      </c>
      <c r="H53" s="245"/>
      <c r="I53" s="245"/>
      <c r="J53" s="245"/>
      <c r="K53" s="245"/>
      <c r="L53" s="245"/>
      <c r="M53" s="245"/>
      <c r="N53" s="245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247"/>
      <c r="AL53" s="247"/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47"/>
      <c r="BH53" s="247"/>
      <c r="BI53" s="247"/>
      <c r="BJ53" s="247"/>
      <c r="BK53" s="247"/>
      <c r="BL53" s="247"/>
      <c r="BM53" s="247"/>
      <c r="BN53" s="247"/>
      <c r="BO53" s="247"/>
      <c r="BP53" s="247"/>
      <c r="BQ53" s="247"/>
      <c r="BR53" s="247"/>
      <c r="BS53" s="247"/>
      <c r="BT53" s="247"/>
      <c r="BU53" s="247"/>
      <c r="BV53" s="247"/>
      <c r="BW53" s="247"/>
      <c r="BX53" s="247"/>
      <c r="BY53" s="247"/>
      <c r="BZ53" s="249">
        <v>0.91</v>
      </c>
      <c r="CA53" s="247"/>
      <c r="CB53" s="249">
        <f t="shared" si="34"/>
        <v>3.41</v>
      </c>
      <c r="CC53" s="249"/>
      <c r="CD53" s="249">
        <f t="shared" si="35"/>
        <v>5.91</v>
      </c>
      <c r="CE53" s="250"/>
      <c r="CF53" s="251"/>
      <c r="CG53" s="251">
        <v>2.5</v>
      </c>
      <c r="CH53" s="250">
        <f t="shared" si="36"/>
        <v>8.41</v>
      </c>
      <c r="CI53" s="250">
        <f t="shared" si="37"/>
        <v>8.41</v>
      </c>
      <c r="CJ53" s="251"/>
      <c r="CK53" s="251">
        <v>2.5</v>
      </c>
      <c r="CL53" s="250">
        <f t="shared" si="38"/>
        <v>10.91</v>
      </c>
      <c r="CM53" s="250">
        <f t="shared" si="39"/>
        <v>10.91</v>
      </c>
      <c r="CN53" s="252">
        <v>0</v>
      </c>
      <c r="CO53" s="251">
        <v>2.5</v>
      </c>
      <c r="CP53" s="250">
        <f t="shared" si="40"/>
        <v>13.41</v>
      </c>
      <c r="CQ53" s="198">
        <f t="shared" si="41"/>
        <v>13.41</v>
      </c>
      <c r="CR53" s="253">
        <v>0</v>
      </c>
      <c r="CS53" s="251">
        <v>2.5</v>
      </c>
      <c r="CT53" s="250">
        <f t="shared" si="42"/>
        <v>15.91</v>
      </c>
      <c r="CU53" s="254">
        <f t="shared" si="43"/>
        <v>15.91</v>
      </c>
      <c r="CV53" s="253">
        <v>0</v>
      </c>
      <c r="CW53" s="251">
        <v>2.5</v>
      </c>
      <c r="CX53" s="250">
        <f t="shared" si="44"/>
        <v>18.41</v>
      </c>
      <c r="CY53" s="250">
        <f t="shared" si="45"/>
        <v>18.41</v>
      </c>
      <c r="CZ53" s="253">
        <v>0</v>
      </c>
      <c r="DA53" s="251">
        <v>2.5</v>
      </c>
      <c r="DB53" s="250">
        <f t="shared" si="46"/>
        <v>20.91</v>
      </c>
      <c r="DC53" s="250">
        <f t="shared" si="47"/>
        <v>20.91</v>
      </c>
      <c r="DD53" s="182">
        <v>0</v>
      </c>
      <c r="DE53" s="174">
        <v>2.5</v>
      </c>
      <c r="DF53" s="250">
        <f t="shared" si="48"/>
        <v>23.41</v>
      </c>
      <c r="DG53" s="250">
        <f t="shared" si="49"/>
        <v>23.41</v>
      </c>
      <c r="DH53" s="182">
        <v>0</v>
      </c>
      <c r="DI53" s="174">
        <v>2.5</v>
      </c>
      <c r="DJ53" s="250">
        <f t="shared" si="50"/>
        <v>25.91</v>
      </c>
      <c r="DK53" s="250">
        <f t="shared" si="51"/>
        <v>25.91</v>
      </c>
      <c r="DL53" s="182">
        <v>0</v>
      </c>
      <c r="DM53" s="174">
        <v>2.5</v>
      </c>
      <c r="DN53" s="250">
        <f t="shared" si="52"/>
        <v>28.41</v>
      </c>
      <c r="DO53" s="250">
        <f t="shared" si="53"/>
        <v>28.41</v>
      </c>
    </row>
    <row r="54" ht="14.25" customHeight="1" hidden="1" spans="1:119" s="240" customFormat="1" x14ac:dyDescent="0.25">
      <c r="A54" s="306" t="s">
        <v>1367</v>
      </c>
      <c r="B54" s="251" t="s">
        <v>869</v>
      </c>
      <c r="C54" s="307" t="s">
        <v>1368</v>
      </c>
      <c r="D54" s="244" t="s">
        <v>1369</v>
      </c>
      <c r="E54" s="244" t="s">
        <v>1002</v>
      </c>
      <c r="F54" s="245"/>
      <c r="G54" s="246">
        <v>46049</v>
      </c>
      <c r="H54" s="245"/>
      <c r="I54" s="245"/>
      <c r="J54" s="245"/>
      <c r="K54" s="245"/>
      <c r="L54" s="245"/>
      <c r="M54" s="245"/>
      <c r="N54" s="245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47"/>
      <c r="BG54" s="247"/>
      <c r="BH54" s="247"/>
      <c r="BI54" s="247"/>
      <c r="BJ54" s="247"/>
      <c r="BK54" s="247"/>
      <c r="BL54" s="247"/>
      <c r="BM54" s="247"/>
      <c r="BN54" s="247"/>
      <c r="BO54" s="247"/>
      <c r="BP54" s="247"/>
      <c r="BQ54" s="247"/>
      <c r="BR54" s="247"/>
      <c r="BS54" s="247"/>
      <c r="BT54" s="247"/>
      <c r="BU54" s="247"/>
      <c r="BV54" s="247"/>
      <c r="BW54" s="247"/>
      <c r="BX54" s="247"/>
      <c r="BY54" s="247"/>
      <c r="BZ54" s="249">
        <v>0.91</v>
      </c>
      <c r="CA54" s="247"/>
      <c r="CB54" s="249">
        <f t="shared" si="34"/>
        <v>3.41</v>
      </c>
      <c r="CC54" s="249"/>
      <c r="CD54" s="249">
        <f t="shared" si="35"/>
        <v>5.91</v>
      </c>
      <c r="CE54" s="250"/>
      <c r="CF54" s="251"/>
      <c r="CG54" s="251">
        <v>2.5</v>
      </c>
      <c r="CH54" s="250">
        <f t="shared" si="36"/>
        <v>8.41</v>
      </c>
      <c r="CI54" s="250">
        <f t="shared" si="37"/>
        <v>8.41</v>
      </c>
      <c r="CJ54" s="251"/>
      <c r="CK54" s="251">
        <v>2.5</v>
      </c>
      <c r="CL54" s="250">
        <f t="shared" si="38"/>
        <v>10.91</v>
      </c>
      <c r="CM54" s="250">
        <f t="shared" si="39"/>
        <v>10.91</v>
      </c>
      <c r="CN54" s="252">
        <v>0</v>
      </c>
      <c r="CO54" s="251">
        <v>2.5</v>
      </c>
      <c r="CP54" s="250">
        <f t="shared" si="40"/>
        <v>13.41</v>
      </c>
      <c r="CQ54" s="198">
        <f t="shared" si="41"/>
        <v>13.41</v>
      </c>
      <c r="CR54" s="253">
        <v>0</v>
      </c>
      <c r="CS54" s="251">
        <v>2.5</v>
      </c>
      <c r="CT54" s="250">
        <f t="shared" si="42"/>
        <v>15.91</v>
      </c>
      <c r="CU54" s="254">
        <f t="shared" si="43"/>
        <v>15.91</v>
      </c>
      <c r="CV54" s="253">
        <v>0</v>
      </c>
      <c r="CW54" s="251">
        <v>2.5</v>
      </c>
      <c r="CX54" s="250">
        <f t="shared" si="44"/>
        <v>18.41</v>
      </c>
      <c r="CY54" s="250">
        <f t="shared" si="45"/>
        <v>18.41</v>
      </c>
      <c r="CZ54" s="253">
        <v>0</v>
      </c>
      <c r="DA54" s="251">
        <v>2.5</v>
      </c>
      <c r="DB54" s="250">
        <f t="shared" si="46"/>
        <v>20.91</v>
      </c>
      <c r="DC54" s="250">
        <f t="shared" si="47"/>
        <v>20.91</v>
      </c>
      <c r="DD54" s="182">
        <v>0</v>
      </c>
      <c r="DE54" s="174">
        <v>2.5</v>
      </c>
      <c r="DF54" s="250">
        <f t="shared" si="48"/>
        <v>23.41</v>
      </c>
      <c r="DG54" s="250">
        <f t="shared" si="49"/>
        <v>23.41</v>
      </c>
      <c r="DH54" s="182">
        <v>0</v>
      </c>
      <c r="DI54" s="174">
        <v>2.5</v>
      </c>
      <c r="DJ54" s="250">
        <f t="shared" si="50"/>
        <v>25.91</v>
      </c>
      <c r="DK54" s="250">
        <f t="shared" si="51"/>
        <v>25.91</v>
      </c>
      <c r="DL54" s="182">
        <v>0</v>
      </c>
      <c r="DM54" s="174">
        <v>2.5</v>
      </c>
      <c r="DN54" s="250">
        <f t="shared" si="52"/>
        <v>28.41</v>
      </c>
      <c r="DO54" s="250">
        <f t="shared" si="53"/>
        <v>28.41</v>
      </c>
    </row>
    <row r="55" ht="14.25" customHeight="1" hidden="1" spans="1:119" s="240" customFormat="1" x14ac:dyDescent="0.25">
      <c r="A55" s="306" t="s">
        <v>1370</v>
      </c>
      <c r="B55" s="251" t="s">
        <v>869</v>
      </c>
      <c r="C55" s="307" t="s">
        <v>1371</v>
      </c>
      <c r="D55" s="244" t="s">
        <v>1372</v>
      </c>
      <c r="E55" s="244" t="s">
        <v>1002</v>
      </c>
      <c r="F55" s="245"/>
      <c r="G55" s="246">
        <v>46052</v>
      </c>
      <c r="H55" s="245"/>
      <c r="I55" s="245"/>
      <c r="J55" s="245"/>
      <c r="K55" s="245"/>
      <c r="L55" s="245"/>
      <c r="M55" s="245"/>
      <c r="N55" s="245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7"/>
      <c r="BH55" s="247"/>
      <c r="BI55" s="247"/>
      <c r="BJ55" s="247"/>
      <c r="BK55" s="247"/>
      <c r="BL55" s="247"/>
      <c r="BM55" s="247"/>
      <c r="BN55" s="247"/>
      <c r="BO55" s="247"/>
      <c r="BP55" s="247"/>
      <c r="BQ55" s="247"/>
      <c r="BR55" s="247"/>
      <c r="BS55" s="247"/>
      <c r="BT55" s="247"/>
      <c r="BU55" s="247"/>
      <c r="BV55" s="247"/>
      <c r="BW55" s="247"/>
      <c r="BX55" s="247"/>
      <c r="BY55" s="247"/>
      <c r="BZ55" s="249">
        <v>0.91</v>
      </c>
      <c r="CA55" s="247"/>
      <c r="CB55" s="249">
        <f t="shared" si="34"/>
        <v>3.41</v>
      </c>
      <c r="CC55" s="249"/>
      <c r="CD55" s="249">
        <f t="shared" si="35"/>
        <v>5.91</v>
      </c>
      <c r="CE55" s="250"/>
      <c r="CF55" s="251"/>
      <c r="CG55" s="251">
        <v>2.5</v>
      </c>
      <c r="CH55" s="250">
        <f t="shared" si="36"/>
        <v>8.41</v>
      </c>
      <c r="CI55" s="250">
        <f t="shared" si="37"/>
        <v>8.41</v>
      </c>
      <c r="CJ55" s="251"/>
      <c r="CK55" s="251">
        <v>2.5</v>
      </c>
      <c r="CL55" s="250">
        <f t="shared" si="38"/>
        <v>10.91</v>
      </c>
      <c r="CM55" s="250">
        <f t="shared" si="39"/>
        <v>10.91</v>
      </c>
      <c r="CN55" s="252">
        <v>0</v>
      </c>
      <c r="CO55" s="251">
        <v>2.5</v>
      </c>
      <c r="CP55" s="250">
        <f t="shared" si="40"/>
        <v>13.41</v>
      </c>
      <c r="CQ55" s="198">
        <f t="shared" si="41"/>
        <v>13.41</v>
      </c>
      <c r="CR55" s="253">
        <v>0</v>
      </c>
      <c r="CS55" s="251">
        <v>2.5</v>
      </c>
      <c r="CT55" s="250">
        <f t="shared" si="42"/>
        <v>15.91</v>
      </c>
      <c r="CU55" s="254">
        <f t="shared" si="43"/>
        <v>15.91</v>
      </c>
      <c r="CV55" s="253">
        <v>0</v>
      </c>
      <c r="CW55" s="251">
        <v>2.5</v>
      </c>
      <c r="CX55" s="250">
        <f t="shared" si="44"/>
        <v>18.41</v>
      </c>
      <c r="CY55" s="250">
        <f t="shared" si="45"/>
        <v>18.41</v>
      </c>
      <c r="CZ55" s="253">
        <v>0</v>
      </c>
      <c r="DA55" s="251">
        <v>2.5</v>
      </c>
      <c r="DB55" s="250">
        <f t="shared" si="46"/>
        <v>20.91</v>
      </c>
      <c r="DC55" s="250">
        <f t="shared" si="47"/>
        <v>20.91</v>
      </c>
      <c r="DD55" s="182">
        <v>0</v>
      </c>
      <c r="DE55" s="174">
        <v>2.5</v>
      </c>
      <c r="DF55" s="250">
        <f t="shared" si="48"/>
        <v>23.41</v>
      </c>
      <c r="DG55" s="250">
        <f t="shared" si="49"/>
        <v>23.41</v>
      </c>
      <c r="DH55" s="182">
        <v>0</v>
      </c>
      <c r="DI55" s="174">
        <v>2.5</v>
      </c>
      <c r="DJ55" s="250">
        <f t="shared" si="50"/>
        <v>25.91</v>
      </c>
      <c r="DK55" s="250">
        <f t="shared" si="51"/>
        <v>25.91</v>
      </c>
      <c r="DL55" s="182">
        <v>0</v>
      </c>
      <c r="DM55" s="174">
        <v>2.5</v>
      </c>
      <c r="DN55" s="250">
        <f t="shared" si="52"/>
        <v>28.41</v>
      </c>
      <c r="DO55" s="250">
        <f t="shared" si="53"/>
        <v>28.41</v>
      </c>
    </row>
    <row r="56" ht="14.25" customHeight="1" spans="1:119" x14ac:dyDescent="0.25">
      <c r="A56" s="308" t="s">
        <v>221</v>
      </c>
      <c r="B56" s="39" t="s">
        <v>869</v>
      </c>
      <c r="C56" s="308" t="s">
        <v>1373</v>
      </c>
      <c r="D56" s="234" t="s">
        <v>1374</v>
      </c>
      <c r="E56" s="234" t="s">
        <v>1002</v>
      </c>
      <c r="F56" s="235" t="s">
        <v>1375</v>
      </c>
      <c r="G56" s="188">
        <v>45996</v>
      </c>
      <c r="H56" s="235"/>
      <c r="I56" s="235"/>
      <c r="J56" s="235"/>
      <c r="K56" s="235"/>
      <c r="L56" s="235"/>
      <c r="M56" s="235"/>
      <c r="N56" s="235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8" t="s">
        <v>225</v>
      </c>
      <c r="B57" s="39" t="s">
        <v>869</v>
      </c>
      <c r="C57" s="308" t="s">
        <v>1009</v>
      </c>
      <c r="D57" s="309" t="s">
        <v>1376</v>
      </c>
      <c r="E57" s="234" t="s">
        <v>1002</v>
      </c>
      <c r="F57" s="235" t="s">
        <v>1375</v>
      </c>
      <c r="G57" s="188">
        <v>45996</v>
      </c>
      <c r="H57" s="235"/>
      <c r="I57" s="235"/>
      <c r="J57" s="235"/>
      <c r="K57" s="235"/>
      <c r="L57" s="235"/>
      <c r="M57" s="235"/>
      <c r="N57" s="235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8" t="s">
        <v>228</v>
      </c>
      <c r="B58" s="39" t="s">
        <v>869</v>
      </c>
      <c r="C58" s="308" t="s">
        <v>1377</v>
      </c>
      <c r="D58" s="234" t="s">
        <v>1378</v>
      </c>
      <c r="E58" s="234" t="s">
        <v>1002</v>
      </c>
      <c r="F58" s="235" t="s">
        <v>1375</v>
      </c>
      <c r="G58" s="188">
        <v>45996</v>
      </c>
      <c r="H58" s="235"/>
      <c r="I58" s="235"/>
      <c r="J58" s="235"/>
      <c r="K58" s="235"/>
      <c r="L58" s="235"/>
      <c r="M58" s="235"/>
      <c r="N58" s="235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17" t="s">
        <v>419</v>
      </c>
      <c r="B59" s="59" t="s">
        <v>869</v>
      </c>
      <c r="C59" s="219" t="s">
        <v>1379</v>
      </c>
      <c r="D59" s="238" t="s">
        <v>1014</v>
      </c>
      <c r="E59" s="238" t="s">
        <v>1002</v>
      </c>
      <c r="F59" s="239" t="s">
        <v>1380</v>
      </c>
      <c r="G59" s="221">
        <v>45748</v>
      </c>
      <c r="H59" s="239"/>
      <c r="I59" s="239"/>
      <c r="J59" s="239"/>
      <c r="K59" s="239"/>
      <c r="L59" s="239"/>
      <c r="M59" s="239"/>
      <c r="N59" s="239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>
        <v>2.5</v>
      </c>
      <c r="BI59" s="230">
        <v>1</v>
      </c>
      <c r="BJ59" s="230">
        <f t="shared" ref="BJ59:BJ60" si="111">(BH59-BI59)+2.5</f>
        <v>4</v>
      </c>
      <c r="BK59" s="230"/>
      <c r="BL59" s="230">
        <f t="shared" ref="BL59:BL60" si="112">(BJ59-BK59)+2.5</f>
        <v>6.5</v>
      </c>
      <c r="BM59" s="230">
        <v>10</v>
      </c>
      <c r="BN59" s="230">
        <f t="shared" ref="BN59:BN60" si="113">(BL59-BM59)+2.5</f>
        <v>-1</v>
      </c>
      <c r="BO59" s="230">
        <v>7</v>
      </c>
      <c r="BP59" s="230">
        <f t="shared" ref="BP59:BP60" si="114">(BN59-BO59)+2.5</f>
        <v>-5.5</v>
      </c>
      <c r="BQ59" s="230"/>
      <c r="BR59" s="230">
        <f t="shared" ref="BR59:BR60" si="115">(BP59-BQ59)+2.5</f>
        <v>-3</v>
      </c>
      <c r="BS59" s="230"/>
      <c r="BT59" s="230">
        <f t="shared" ref="BT59:BT60" si="116">(BR59-BS59)+2.5</f>
        <v>-0.5</v>
      </c>
      <c r="BU59" s="230"/>
      <c r="BV59" s="230">
        <f t="shared" ref="BV59:BV60" si="117">(BT59-BU59)+2.5</f>
        <v>2</v>
      </c>
      <c r="BW59" s="230"/>
      <c r="BX59" s="230">
        <f t="shared" si="109"/>
        <v>4.5</v>
      </c>
      <c r="BY59" s="230"/>
      <c r="BZ59" s="231">
        <f t="shared" si="110"/>
        <v>7</v>
      </c>
      <c r="CA59" s="230"/>
      <c r="CB59" s="231">
        <f t="shared" si="34"/>
        <v>9.5</v>
      </c>
      <c r="CC59" s="231"/>
      <c r="CD59" s="231">
        <f t="shared" si="35"/>
        <v>12</v>
      </c>
      <c r="CE59" s="228"/>
      <c r="CF59" s="59"/>
      <c r="CG59" s="59">
        <v>2.5</v>
      </c>
      <c r="CH59" s="228">
        <f t="shared" si="36"/>
        <v>14.5</v>
      </c>
      <c r="CI59" s="228">
        <f t="shared" si="37"/>
        <v>14.5</v>
      </c>
      <c r="CJ59" s="59"/>
      <c r="CK59" s="59">
        <v>2.5</v>
      </c>
      <c r="CL59" s="228">
        <f t="shared" si="38"/>
        <v>17</v>
      </c>
      <c r="CM59" s="228">
        <f t="shared" si="39"/>
        <v>17</v>
      </c>
      <c r="CN59" s="225">
        <v>0</v>
      </c>
      <c r="CO59" s="59">
        <v>2.5</v>
      </c>
      <c r="CP59" s="228">
        <f t="shared" si="40"/>
        <v>19.5</v>
      </c>
      <c r="CQ59" s="228">
        <f t="shared" si="41"/>
        <v>19.5</v>
      </c>
      <c r="CR59" s="232">
        <v>0</v>
      </c>
      <c r="CS59" s="59">
        <v>2.5</v>
      </c>
      <c r="CT59" s="228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28">
        <f t="shared" si="44"/>
        <v>24.5</v>
      </c>
      <c r="CY59" s="228">
        <f t="shared" si="45"/>
        <v>24.5</v>
      </c>
      <c r="CZ59" s="232">
        <v>0</v>
      </c>
      <c r="DA59" s="59">
        <v>2.5</v>
      </c>
      <c r="DB59" s="228">
        <f t="shared" si="46"/>
        <v>27</v>
      </c>
      <c r="DC59" s="228">
        <f t="shared" si="47"/>
        <v>27</v>
      </c>
      <c r="DD59" s="232">
        <v>0</v>
      </c>
      <c r="DE59" s="59">
        <v>2.5</v>
      </c>
      <c r="DF59" s="228">
        <f t="shared" si="48"/>
        <v>29.5</v>
      </c>
      <c r="DG59" s="228">
        <f t="shared" si="49"/>
        <v>29.5</v>
      </c>
      <c r="DH59" s="232">
        <v>0</v>
      </c>
      <c r="DI59" s="59">
        <v>2.5</v>
      </c>
      <c r="DJ59" s="228">
        <f t="shared" si="50"/>
        <v>32</v>
      </c>
      <c r="DK59" s="228">
        <f t="shared" si="51"/>
        <v>32</v>
      </c>
      <c r="DL59" s="232">
        <v>0</v>
      </c>
      <c r="DM59" s="59">
        <v>2.5</v>
      </c>
      <c r="DN59" s="228">
        <f t="shared" si="52"/>
        <v>34.5</v>
      </c>
      <c r="DO59" s="228">
        <f t="shared" si="53"/>
        <v>34.5</v>
      </c>
    </row>
    <row r="60" ht="14.25" customHeight="1" spans="1:119" s="310" customFormat="1" x14ac:dyDescent="0.25">
      <c r="A60" s="311" t="s">
        <v>1016</v>
      </c>
      <c r="B60" s="312" t="s">
        <v>869</v>
      </c>
      <c r="C60" s="313" t="s">
        <v>1017</v>
      </c>
      <c r="D60" s="314" t="s">
        <v>1381</v>
      </c>
      <c r="E60" s="314" t="s">
        <v>100</v>
      </c>
      <c r="F60" s="315" t="s">
        <v>1326</v>
      </c>
      <c r="G60" s="316">
        <v>45740</v>
      </c>
      <c r="H60" s="315"/>
      <c r="I60" s="315"/>
      <c r="J60" s="315"/>
      <c r="K60" s="315"/>
      <c r="L60" s="315"/>
      <c r="M60" s="315"/>
      <c r="N60" s="315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7"/>
      <c r="BB60" s="317"/>
      <c r="BC60" s="317"/>
      <c r="BD60" s="317"/>
      <c r="BE60" s="317"/>
      <c r="BF60" s="317">
        <v>1</v>
      </c>
      <c r="BG60" s="317"/>
      <c r="BH60" s="317">
        <f>(BF60-BG60)+2.5</f>
        <v>3.5</v>
      </c>
      <c r="BI60" s="317"/>
      <c r="BJ60" s="317">
        <f t="shared" si="111"/>
        <v>6</v>
      </c>
      <c r="BK60" s="317"/>
      <c r="BL60" s="317">
        <f t="shared" si="112"/>
        <v>8.5</v>
      </c>
      <c r="BM60" s="317"/>
      <c r="BN60" s="317">
        <f t="shared" si="113"/>
        <v>11</v>
      </c>
      <c r="BO60" s="317"/>
      <c r="BP60" s="317">
        <f t="shared" si="114"/>
        <v>13.5</v>
      </c>
      <c r="BQ60" s="317"/>
      <c r="BR60" s="317">
        <f t="shared" si="115"/>
        <v>16</v>
      </c>
      <c r="BS60" s="317"/>
      <c r="BT60" s="317">
        <f t="shared" si="116"/>
        <v>18.5</v>
      </c>
      <c r="BU60" s="317"/>
      <c r="BV60" s="317">
        <f t="shared" si="117"/>
        <v>21</v>
      </c>
      <c r="BW60" s="317"/>
      <c r="BX60" s="317">
        <f t="shared" si="109"/>
        <v>23.5</v>
      </c>
      <c r="BY60" s="317">
        <v>4</v>
      </c>
      <c r="BZ60" s="318">
        <f t="shared" si="110"/>
        <v>22</v>
      </c>
      <c r="CA60" s="317"/>
      <c r="CB60" s="318">
        <f t="shared" si="34"/>
        <v>24.5</v>
      </c>
      <c r="CC60" s="318"/>
      <c r="CD60" s="318">
        <f t="shared" si="35"/>
        <v>27</v>
      </c>
      <c r="CE60" s="319"/>
      <c r="CF60" s="312"/>
      <c r="CG60" s="312">
        <v>2.5</v>
      </c>
      <c r="CH60" s="319">
        <f t="shared" si="36"/>
        <v>29.5</v>
      </c>
      <c r="CI60" s="319">
        <f t="shared" si="37"/>
        <v>29.5</v>
      </c>
      <c r="CJ60" s="312"/>
      <c r="CK60" s="312">
        <v>2.5</v>
      </c>
      <c r="CL60" s="319">
        <f t="shared" si="38"/>
        <v>32</v>
      </c>
      <c r="CM60" s="319">
        <f t="shared" si="39"/>
        <v>32</v>
      </c>
      <c r="CN60" s="320">
        <v>0</v>
      </c>
      <c r="CO60" s="312">
        <v>2.5</v>
      </c>
      <c r="CP60" s="319">
        <f t="shared" si="40"/>
        <v>34.5</v>
      </c>
      <c r="CQ60" s="319">
        <f t="shared" si="41"/>
        <v>34.5</v>
      </c>
      <c r="CR60" s="321">
        <v>0</v>
      </c>
      <c r="CS60" s="312">
        <v>2.5</v>
      </c>
      <c r="CT60" s="319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9">
        <f t="shared" si="45"/>
        <v>28.5</v>
      </c>
      <c r="CZ60" s="182">
        <v>0</v>
      </c>
      <c r="DA60" s="174">
        <v>2.5</v>
      </c>
      <c r="DB60" s="319">
        <f t="shared" si="46"/>
        <v>31</v>
      </c>
      <c r="DC60" s="319">
        <f t="shared" si="47"/>
        <v>31</v>
      </c>
      <c r="DD60" s="182">
        <v>0</v>
      </c>
      <c r="DE60" s="174">
        <v>2.5</v>
      </c>
      <c r="DF60" s="319">
        <f t="shared" si="48"/>
        <v>33.5</v>
      </c>
      <c r="DG60" s="319">
        <f t="shared" si="49"/>
        <v>33.5</v>
      </c>
      <c r="DH60" s="182">
        <v>0</v>
      </c>
      <c r="DI60" s="174">
        <v>2.5</v>
      </c>
      <c r="DJ60" s="319">
        <f t="shared" si="50"/>
        <v>36</v>
      </c>
      <c r="DK60" s="319">
        <f t="shared" si="51"/>
        <v>36</v>
      </c>
      <c r="DL60" s="182">
        <v>0</v>
      </c>
      <c r="DM60" s="174">
        <v>2.5</v>
      </c>
      <c r="DN60" s="319">
        <f t="shared" si="52"/>
        <v>38.5</v>
      </c>
      <c r="DO60" s="319">
        <f t="shared" si="53"/>
        <v>38.5</v>
      </c>
    </row>
    <row r="61" ht="14.25" customHeight="1" spans="1:119" x14ac:dyDescent="0.25">
      <c r="A61" s="322" t="s">
        <v>125</v>
      </c>
      <c r="B61" s="39" t="s">
        <v>869</v>
      </c>
      <c r="C61" s="194" t="s">
        <v>1019</v>
      </c>
      <c r="D61" s="234" t="s">
        <v>1382</v>
      </c>
      <c r="E61" s="234" t="s">
        <v>462</v>
      </c>
      <c r="F61" s="235" t="s">
        <v>1347</v>
      </c>
      <c r="G61" s="188">
        <v>46036</v>
      </c>
      <c r="H61" s="235"/>
      <c r="I61" s="235"/>
      <c r="J61" s="235"/>
      <c r="K61" s="235"/>
      <c r="L61" s="235"/>
      <c r="M61" s="235"/>
      <c r="N61" s="235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1021</v>
      </c>
      <c r="B62" s="39" t="s">
        <v>869</v>
      </c>
      <c r="C62" s="275" t="s">
        <v>1383</v>
      </c>
      <c r="D62" s="234" t="s">
        <v>1384</v>
      </c>
      <c r="E62" s="234" t="s">
        <v>462</v>
      </c>
      <c r="F62" s="235" t="s">
        <v>1326</v>
      </c>
      <c r="G62" s="188">
        <v>45854</v>
      </c>
      <c r="H62" s="235"/>
      <c r="I62" s="235"/>
      <c r="J62" s="235"/>
      <c r="K62" s="235"/>
      <c r="L62" s="235"/>
      <c r="M62" s="235"/>
      <c r="N62" s="235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22" t="s">
        <v>517</v>
      </c>
      <c r="B63" s="39" t="s">
        <v>869</v>
      </c>
      <c r="C63" s="323" t="s">
        <v>1311</v>
      </c>
      <c r="D63" s="234" t="s">
        <v>1385</v>
      </c>
      <c r="E63" s="234" t="s">
        <v>462</v>
      </c>
      <c r="F63" s="235"/>
      <c r="G63" s="188">
        <v>46053</v>
      </c>
      <c r="H63" s="235"/>
      <c r="I63" s="235"/>
      <c r="J63" s="235"/>
      <c r="K63" s="235"/>
      <c r="L63" s="235"/>
      <c r="M63" s="235"/>
      <c r="N63" s="235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0</v>
      </c>
      <c r="DE63" s="174">
        <v>2.5</v>
      </c>
      <c r="DF63" s="196">
        <f t="shared" si="48"/>
        <v>20.41</v>
      </c>
      <c r="DG63" s="196">
        <f t="shared" si="49"/>
        <v>20.41</v>
      </c>
      <c r="DH63" s="182">
        <v>0</v>
      </c>
      <c r="DI63" s="174">
        <v>2.5</v>
      </c>
      <c r="DJ63" s="196">
        <f t="shared" si="50"/>
        <v>22.91</v>
      </c>
      <c r="DK63" s="196">
        <f t="shared" si="51"/>
        <v>22.91</v>
      </c>
      <c r="DL63" s="182">
        <v>0</v>
      </c>
      <c r="DM63" s="174">
        <v>2.5</v>
      </c>
      <c r="DN63" s="196">
        <f t="shared" si="52"/>
        <v>25.41</v>
      </c>
      <c r="DO63" s="196">
        <f t="shared" si="53"/>
        <v>25.41</v>
      </c>
    </row>
    <row r="64" ht="14.25" customHeight="1" spans="1:119" x14ac:dyDescent="0.25">
      <c r="A64" s="184" t="s">
        <v>1026</v>
      </c>
      <c r="B64" s="39" t="s">
        <v>869</v>
      </c>
      <c r="C64" s="236" t="s">
        <v>1027</v>
      </c>
      <c r="D64" s="234" t="s">
        <v>1386</v>
      </c>
      <c r="E64" s="234" t="s">
        <v>462</v>
      </c>
      <c r="F64" s="235" t="s">
        <v>1347</v>
      </c>
      <c r="G64" s="188">
        <v>45931</v>
      </c>
      <c r="H64" s="235"/>
      <c r="I64" s="235"/>
      <c r="J64" s="235"/>
      <c r="K64" s="235"/>
      <c r="L64" s="235"/>
      <c r="M64" s="235"/>
      <c r="N64" s="235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24" customFormat="1" x14ac:dyDescent="0.25">
      <c r="A65" s="325" t="s">
        <v>138</v>
      </c>
      <c r="B65" s="326" t="s">
        <v>869</v>
      </c>
      <c r="C65" s="327" t="s">
        <v>1029</v>
      </c>
      <c r="D65" s="328" t="s">
        <v>1387</v>
      </c>
      <c r="E65" s="328" t="s">
        <v>462</v>
      </c>
      <c r="F65" s="329" t="s">
        <v>1380</v>
      </c>
      <c r="G65" s="330">
        <v>45992</v>
      </c>
      <c r="H65" s="329"/>
      <c r="I65" s="329"/>
      <c r="J65" s="329"/>
      <c r="K65" s="329"/>
      <c r="L65" s="329"/>
      <c r="M65" s="329"/>
      <c r="N65" s="329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31"/>
      <c r="BL65" s="331"/>
      <c r="BM65" s="331"/>
      <c r="BN65" s="331"/>
      <c r="BO65" s="331"/>
      <c r="BP65" s="331"/>
      <c r="BQ65" s="331"/>
      <c r="BR65" s="331"/>
      <c r="BS65" s="331"/>
      <c r="BT65" s="331"/>
      <c r="BU65" s="331"/>
      <c r="BV65" s="331"/>
      <c r="BW65" s="331"/>
      <c r="BX65" s="331">
        <f t="shared" si="118"/>
        <v>2.5</v>
      </c>
      <c r="BY65" s="331">
        <v>23</v>
      </c>
      <c r="BZ65" s="332">
        <f t="shared" si="119"/>
        <v>-18</v>
      </c>
      <c r="CA65" s="331"/>
      <c r="CB65" s="332">
        <f t="shared" si="34"/>
        <v>-15.5</v>
      </c>
      <c r="CC65" s="332"/>
      <c r="CD65" s="332">
        <f t="shared" si="35"/>
        <v>-13</v>
      </c>
      <c r="CE65" s="333"/>
      <c r="CF65" s="326"/>
      <c r="CG65" s="326">
        <v>2.5</v>
      </c>
      <c r="CH65" s="333">
        <f t="shared" si="36"/>
        <v>-10.5</v>
      </c>
      <c r="CI65" s="333">
        <f t="shared" si="37"/>
        <v>-10.5</v>
      </c>
      <c r="CJ65" s="326"/>
      <c r="CK65" s="326">
        <v>2.5</v>
      </c>
      <c r="CL65" s="333">
        <f t="shared" si="38"/>
        <v>-8</v>
      </c>
      <c r="CM65" s="333">
        <f t="shared" si="39"/>
        <v>-8</v>
      </c>
      <c r="CN65" s="334">
        <v>0</v>
      </c>
      <c r="CO65" s="326">
        <v>2.5</v>
      </c>
      <c r="CP65" s="333">
        <f t="shared" si="40"/>
        <v>-5.5</v>
      </c>
      <c r="CQ65" s="333">
        <f t="shared" si="41"/>
        <v>-5.5</v>
      </c>
      <c r="CR65" s="335">
        <v>0</v>
      </c>
      <c r="CS65" s="326">
        <v>2.5</v>
      </c>
      <c r="CT65" s="333">
        <f t="shared" si="42"/>
        <v>-3</v>
      </c>
      <c r="CU65" s="336">
        <f t="shared" si="43"/>
        <v>-3</v>
      </c>
      <c r="CV65" s="335">
        <v>0</v>
      </c>
      <c r="CW65" s="326">
        <v>2.5</v>
      </c>
      <c r="CX65" s="333">
        <f t="shared" si="44"/>
        <v>-0.5</v>
      </c>
      <c r="CY65" s="333">
        <f t="shared" si="45"/>
        <v>-0.5</v>
      </c>
      <c r="CZ65" s="335">
        <v>0</v>
      </c>
      <c r="DA65" s="326">
        <v>2.5</v>
      </c>
      <c r="DB65" s="333">
        <f t="shared" si="46"/>
        <v>2</v>
      </c>
      <c r="DC65" s="333">
        <f t="shared" si="47"/>
        <v>2</v>
      </c>
      <c r="DD65" s="335">
        <v>0</v>
      </c>
      <c r="DE65" s="326">
        <v>2.5</v>
      </c>
      <c r="DF65" s="333">
        <f t="shared" si="48"/>
        <v>4.5</v>
      </c>
      <c r="DG65" s="333">
        <f t="shared" si="49"/>
        <v>4.5</v>
      </c>
      <c r="DH65" s="335">
        <v>0</v>
      </c>
      <c r="DI65" s="326">
        <v>2.5</v>
      </c>
      <c r="DJ65" s="333">
        <f t="shared" si="50"/>
        <v>7</v>
      </c>
      <c r="DK65" s="333">
        <f t="shared" si="51"/>
        <v>7</v>
      </c>
      <c r="DL65" s="335">
        <v>0</v>
      </c>
      <c r="DM65" s="326">
        <v>2.5</v>
      </c>
      <c r="DN65" s="333">
        <f t="shared" si="52"/>
        <v>9.5</v>
      </c>
      <c r="DO65" s="333">
        <f t="shared" si="53"/>
        <v>9.5</v>
      </c>
    </row>
    <row r="66" ht="14.25" customHeight="1" spans="1:119" x14ac:dyDescent="0.25">
      <c r="A66" s="308" t="s">
        <v>119</v>
      </c>
      <c r="B66" s="39" t="s">
        <v>869</v>
      </c>
      <c r="C66" s="308" t="s">
        <v>1050</v>
      </c>
      <c r="D66" s="234" t="s">
        <v>1388</v>
      </c>
      <c r="E66" s="234" t="s">
        <v>462</v>
      </c>
      <c r="F66" s="235" t="s">
        <v>1375</v>
      </c>
      <c r="G66" s="188">
        <v>45996</v>
      </c>
      <c r="H66" s="235"/>
      <c r="I66" s="235"/>
      <c r="J66" s="235"/>
      <c r="K66" s="235"/>
      <c r="L66" s="235"/>
      <c r="M66" s="235"/>
      <c r="N66" s="235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22" t="s">
        <v>128</v>
      </c>
      <c r="B67" s="39" t="s">
        <v>869</v>
      </c>
      <c r="C67" s="194" t="s">
        <v>1389</v>
      </c>
      <c r="D67" s="234" t="s">
        <v>1390</v>
      </c>
      <c r="E67" s="234" t="s">
        <v>462</v>
      </c>
      <c r="F67" s="235"/>
      <c r="G67" s="188">
        <v>46048</v>
      </c>
      <c r="H67" s="235"/>
      <c r="I67" s="235"/>
      <c r="J67" s="235"/>
      <c r="K67" s="235"/>
      <c r="L67" s="235"/>
      <c r="M67" s="235"/>
      <c r="N67" s="235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413</v>
      </c>
      <c r="B68" s="174" t="s">
        <v>869</v>
      </c>
      <c r="C68" s="168" t="s">
        <v>415</v>
      </c>
      <c r="D68" s="273"/>
      <c r="E68" s="273" t="s">
        <v>619</v>
      </c>
      <c r="F68" s="274" t="s">
        <v>1391</v>
      </c>
      <c r="G68" s="170">
        <v>45915</v>
      </c>
      <c r="H68" s="274"/>
      <c r="I68" s="274"/>
      <c r="J68" s="274"/>
      <c r="K68" s="274"/>
      <c r="L68" s="274"/>
      <c r="M68" s="274"/>
      <c r="N68" s="274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s="143" customFormat="1" x14ac:dyDescent="0.25">
      <c r="A69" s="212" t="s">
        <v>416</v>
      </c>
      <c r="B69" s="209" t="s">
        <v>869</v>
      </c>
      <c r="C69" s="337" t="s">
        <v>1392</v>
      </c>
      <c r="D69" s="278" t="s">
        <v>1393</v>
      </c>
      <c r="E69" s="278" t="s">
        <v>612</v>
      </c>
      <c r="F69" s="279" t="s">
        <v>1300</v>
      </c>
      <c r="G69" s="205">
        <v>45931</v>
      </c>
      <c r="H69" s="279"/>
      <c r="I69" s="279"/>
      <c r="J69" s="279"/>
      <c r="K69" s="279"/>
      <c r="L69" s="279"/>
      <c r="M69" s="279"/>
      <c r="N69" s="279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>
        <f t="shared" si="120"/>
        <v>2.5</v>
      </c>
      <c r="BU69" s="212"/>
      <c r="BV69" s="212">
        <f t="shared" si="121"/>
        <v>5</v>
      </c>
      <c r="BW69" s="212"/>
      <c r="BX69" s="212">
        <f t="shared" si="122"/>
        <v>7.5</v>
      </c>
      <c r="BY69" s="212"/>
      <c r="BZ69" s="214">
        <f t="shared" si="123"/>
        <v>10</v>
      </c>
      <c r="CA69" s="212"/>
      <c r="CB69" s="214">
        <f t="shared" si="34"/>
        <v>12.5</v>
      </c>
      <c r="CC69" s="214"/>
      <c r="CD69" s="214">
        <f t="shared" si="35"/>
        <v>15</v>
      </c>
      <c r="CE69" s="198"/>
      <c r="CF69" s="209"/>
      <c r="CG69" s="209">
        <v>2.5</v>
      </c>
      <c r="CH69" s="198">
        <f t="shared" si="36"/>
        <v>17.5</v>
      </c>
      <c r="CI69" s="198">
        <f t="shared" si="37"/>
        <v>17.5</v>
      </c>
      <c r="CJ69" s="209"/>
      <c r="CK69" s="209">
        <v>2.5</v>
      </c>
      <c r="CL69" s="198">
        <f t="shared" si="38"/>
        <v>20</v>
      </c>
      <c r="CM69" s="198">
        <f t="shared" si="39"/>
        <v>20</v>
      </c>
      <c r="CN69" s="210">
        <v>0</v>
      </c>
      <c r="CO69" s="209">
        <v>2.5</v>
      </c>
      <c r="CP69" s="198">
        <f t="shared" si="40"/>
        <v>22.5</v>
      </c>
      <c r="CQ69" s="198">
        <f t="shared" si="41"/>
        <v>22.5</v>
      </c>
      <c r="CR69" s="338">
        <v>0</v>
      </c>
      <c r="CS69" s="209">
        <v>2.5</v>
      </c>
      <c r="CT69" s="198">
        <f t="shared" si="42"/>
        <v>25</v>
      </c>
      <c r="CU69" s="216">
        <f t="shared" si="43"/>
        <v>25</v>
      </c>
      <c r="CV69" s="338">
        <v>0</v>
      </c>
      <c r="CW69" s="209">
        <v>2.5</v>
      </c>
      <c r="CX69" s="198">
        <f t="shared" si="44"/>
        <v>27.5</v>
      </c>
      <c r="CY69" s="198">
        <f t="shared" si="45"/>
        <v>27.5</v>
      </c>
      <c r="CZ69" s="338">
        <v>0</v>
      </c>
      <c r="DA69" s="209">
        <v>2.5</v>
      </c>
      <c r="DB69" s="198">
        <f t="shared" si="46"/>
        <v>30</v>
      </c>
      <c r="DC69" s="198">
        <f t="shared" si="47"/>
        <v>30</v>
      </c>
      <c r="DD69" s="338">
        <v>0</v>
      </c>
      <c r="DE69" s="209">
        <v>2.5</v>
      </c>
      <c r="DF69" s="198">
        <f t="shared" si="48"/>
        <v>32.5</v>
      </c>
      <c r="DG69" s="198">
        <f t="shared" si="49"/>
        <v>32.5</v>
      </c>
      <c r="DH69" s="338">
        <v>0</v>
      </c>
      <c r="DI69" s="209">
        <v>2.5</v>
      </c>
      <c r="DJ69" s="198">
        <f t="shared" si="50"/>
        <v>35</v>
      </c>
      <c r="DK69" s="198">
        <f t="shared" si="51"/>
        <v>35</v>
      </c>
      <c r="DL69" s="338">
        <v>0</v>
      </c>
      <c r="DM69" s="209">
        <v>2.5</v>
      </c>
      <c r="DN69" s="198">
        <f t="shared" si="52"/>
        <v>37.5</v>
      </c>
      <c r="DO69" s="198">
        <f t="shared" si="53"/>
        <v>37.5</v>
      </c>
    </row>
    <row r="70" ht="14.25" customHeight="1" spans="1:119" s="165" customFormat="1" x14ac:dyDescent="0.25">
      <c r="A70" s="166" t="s">
        <v>404</v>
      </c>
      <c r="B70" s="174" t="s">
        <v>869</v>
      </c>
      <c r="C70" s="339" t="s">
        <v>1036</v>
      </c>
      <c r="D70" s="273" t="s">
        <v>1394</v>
      </c>
      <c r="E70" s="273" t="s">
        <v>612</v>
      </c>
      <c r="F70" s="274" t="s">
        <v>1300</v>
      </c>
      <c r="G70" s="170">
        <v>45931</v>
      </c>
      <c r="H70" s="274"/>
      <c r="I70" s="274"/>
      <c r="J70" s="274"/>
      <c r="K70" s="274"/>
      <c r="L70" s="274"/>
      <c r="M70" s="274"/>
      <c r="N70" s="274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17.5</v>
      </c>
      <c r="DH70" s="182">
        <v>0</v>
      </c>
      <c r="DI70" s="174">
        <v>2.5</v>
      </c>
      <c r="DJ70" s="179">
        <f t="shared" si="50"/>
        <v>20</v>
      </c>
      <c r="DK70" s="179">
        <f t="shared" si="51"/>
        <v>20</v>
      </c>
      <c r="DL70" s="182">
        <v>0</v>
      </c>
      <c r="DM70" s="174">
        <v>2.5</v>
      </c>
      <c r="DN70" s="179">
        <f t="shared" si="52"/>
        <v>22.5</v>
      </c>
      <c r="DO70" s="179">
        <f t="shared" si="53"/>
        <v>22.5</v>
      </c>
    </row>
    <row r="71" ht="14.25" customHeight="1" spans="1:119" x14ac:dyDescent="0.25">
      <c r="A71" s="322" t="s">
        <v>148</v>
      </c>
      <c r="B71" s="39" t="s">
        <v>869</v>
      </c>
      <c r="C71" s="194" t="s">
        <v>1395</v>
      </c>
      <c r="D71" s="234" t="s">
        <v>1396</v>
      </c>
      <c r="E71" s="234" t="s">
        <v>462</v>
      </c>
      <c r="F71" s="235"/>
      <c r="G71" s="188">
        <v>46047</v>
      </c>
      <c r="H71" s="235"/>
      <c r="I71" s="235"/>
      <c r="J71" s="235"/>
      <c r="K71" s="235"/>
      <c r="L71" s="235"/>
      <c r="M71" s="235"/>
      <c r="N71" s="235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40" customFormat="1" x14ac:dyDescent="0.25">
      <c r="A72" s="306" t="s">
        <v>1397</v>
      </c>
      <c r="B72" s="251" t="s">
        <v>869</v>
      </c>
      <c r="C72" s="305" t="s">
        <v>1398</v>
      </c>
      <c r="D72" s="244" t="s">
        <v>1399</v>
      </c>
      <c r="E72" s="244" t="s">
        <v>1002</v>
      </c>
      <c r="F72" s="245" t="s">
        <v>1380</v>
      </c>
      <c r="G72" s="246">
        <v>45974</v>
      </c>
      <c r="H72" s="245"/>
      <c r="I72" s="245"/>
      <c r="J72" s="245"/>
      <c r="K72" s="245"/>
      <c r="L72" s="245"/>
      <c r="M72" s="245"/>
      <c r="N72" s="245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7"/>
      <c r="BH72" s="247"/>
      <c r="BI72" s="247"/>
      <c r="BJ72" s="247"/>
      <c r="BK72" s="247"/>
      <c r="BL72" s="247"/>
      <c r="BM72" s="247"/>
      <c r="BN72" s="247"/>
      <c r="BO72" s="247"/>
      <c r="BP72" s="247"/>
      <c r="BQ72" s="247"/>
      <c r="BR72" s="247"/>
      <c r="BS72" s="247"/>
      <c r="BT72" s="247"/>
      <c r="BU72" s="247"/>
      <c r="BV72" s="247">
        <v>1.5</v>
      </c>
      <c r="BW72" s="247"/>
      <c r="BX72" s="247">
        <f>(BV72-BW72)+2.5</f>
        <v>4</v>
      </c>
      <c r="BY72" s="247">
        <v>9</v>
      </c>
      <c r="BZ72" s="249">
        <f>(BX72-BY72)+2.5</f>
        <v>-2.5</v>
      </c>
      <c r="CA72" s="247"/>
      <c r="CB72" s="249">
        <f t="shared" si="34"/>
        <v>0</v>
      </c>
      <c r="CC72" s="249"/>
      <c r="CD72" s="249">
        <f t="shared" si="35"/>
        <v>2.5</v>
      </c>
      <c r="CE72" s="250"/>
      <c r="CF72" s="251"/>
      <c r="CG72" s="251">
        <v>2.5</v>
      </c>
      <c r="CH72" s="250">
        <f t="shared" si="36"/>
        <v>5</v>
      </c>
      <c r="CI72" s="250">
        <f t="shared" si="37"/>
        <v>5</v>
      </c>
      <c r="CJ72" s="251"/>
      <c r="CK72" s="251">
        <v>2.5</v>
      </c>
      <c r="CL72" s="250">
        <f t="shared" si="38"/>
        <v>7.5</v>
      </c>
      <c r="CM72" s="250">
        <f t="shared" si="39"/>
        <v>7.5</v>
      </c>
      <c r="CN72" s="252">
        <v>0</v>
      </c>
      <c r="CO72" s="251">
        <v>2.5</v>
      </c>
      <c r="CP72" s="250">
        <f t="shared" si="40"/>
        <v>10</v>
      </c>
      <c r="CQ72" s="250">
        <f t="shared" si="41"/>
        <v>10</v>
      </c>
      <c r="CR72" s="253">
        <v>0</v>
      </c>
      <c r="CS72" s="251">
        <v>2.5</v>
      </c>
      <c r="CT72" s="250">
        <f t="shared" si="42"/>
        <v>12.5</v>
      </c>
      <c r="CU72" s="254">
        <f t="shared" si="43"/>
        <v>12.5</v>
      </c>
      <c r="CV72" s="253">
        <v>0</v>
      </c>
      <c r="CW72" s="251">
        <v>2.5</v>
      </c>
      <c r="CX72" s="250">
        <f t="shared" si="44"/>
        <v>15</v>
      </c>
      <c r="CY72" s="250">
        <f t="shared" si="45"/>
        <v>15</v>
      </c>
      <c r="CZ72" s="253">
        <v>0</v>
      </c>
      <c r="DA72" s="251">
        <v>2.5</v>
      </c>
      <c r="DB72" s="250">
        <f t="shared" si="46"/>
        <v>17.5</v>
      </c>
      <c r="DC72" s="250">
        <f t="shared" si="47"/>
        <v>17.5</v>
      </c>
      <c r="DD72" s="182">
        <v>0</v>
      </c>
      <c r="DE72" s="174">
        <v>2.5</v>
      </c>
      <c r="DF72" s="250">
        <f t="shared" si="48"/>
        <v>20</v>
      </c>
      <c r="DG72" s="250">
        <f t="shared" si="49"/>
        <v>20</v>
      </c>
      <c r="DH72" s="182">
        <v>0</v>
      </c>
      <c r="DI72" s="174">
        <v>2.5</v>
      </c>
      <c r="DJ72" s="250">
        <f t="shared" si="50"/>
        <v>22.5</v>
      </c>
      <c r="DK72" s="250">
        <f t="shared" si="51"/>
        <v>22.5</v>
      </c>
      <c r="DL72" s="182">
        <v>0</v>
      </c>
      <c r="DM72" s="174">
        <v>2.5</v>
      </c>
      <c r="DN72" s="250">
        <f t="shared" si="52"/>
        <v>25</v>
      </c>
      <c r="DO72" s="250">
        <f t="shared" si="53"/>
        <v>25</v>
      </c>
    </row>
    <row r="73" ht="14.25" customHeight="1" spans="1:119" x14ac:dyDescent="0.25">
      <c r="A73" s="322" t="s">
        <v>74</v>
      </c>
      <c r="B73" s="39" t="s">
        <v>869</v>
      </c>
      <c r="C73" s="194" t="s">
        <v>1400</v>
      </c>
      <c r="D73" s="234" t="s">
        <v>1401</v>
      </c>
      <c r="E73" s="234" t="s">
        <v>462</v>
      </c>
      <c r="F73" s="235" t="s">
        <v>1347</v>
      </c>
      <c r="G73" s="188">
        <v>46036</v>
      </c>
      <c r="H73" s="235"/>
      <c r="I73" s="235"/>
      <c r="J73" s="235"/>
      <c r="K73" s="235"/>
      <c r="L73" s="235"/>
      <c r="M73" s="235"/>
      <c r="N73" s="235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425</v>
      </c>
      <c r="B74" s="39" t="s">
        <v>869</v>
      </c>
      <c r="C74" s="194" t="s">
        <v>1402</v>
      </c>
      <c r="D74" s="234" t="s">
        <v>1403</v>
      </c>
      <c r="E74" s="234" t="s">
        <v>1404</v>
      </c>
      <c r="F74" s="235" t="s">
        <v>1300</v>
      </c>
      <c r="G74" s="188">
        <v>45992</v>
      </c>
      <c r="H74" s="235"/>
      <c r="I74" s="235"/>
      <c r="J74" s="235"/>
      <c r="K74" s="235"/>
      <c r="L74" s="235"/>
      <c r="M74" s="235"/>
      <c r="N74" s="235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40" t="s">
        <v>84</v>
      </c>
      <c r="B75" s="59" t="s">
        <v>869</v>
      </c>
      <c r="C75" s="340" t="s">
        <v>1044</v>
      </c>
      <c r="D75" s="238" t="s">
        <v>1405</v>
      </c>
      <c r="E75" s="238" t="s">
        <v>1406</v>
      </c>
      <c r="F75" s="239" t="s">
        <v>1375</v>
      </c>
      <c r="G75" s="221">
        <v>45996</v>
      </c>
      <c r="H75" s="239"/>
      <c r="I75" s="239"/>
      <c r="J75" s="239"/>
      <c r="K75" s="239"/>
      <c r="L75" s="239"/>
      <c r="M75" s="239"/>
      <c r="N75" s="239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>
        <v>2</v>
      </c>
      <c r="BY75" s="230">
        <v>23</v>
      </c>
      <c r="BZ75" s="231">
        <f t="shared" si="124"/>
        <v>-18.5</v>
      </c>
      <c r="CA75" s="230"/>
      <c r="CB75" s="231">
        <f t="shared" si="34"/>
        <v>-16</v>
      </c>
      <c r="CC75" s="231"/>
      <c r="CD75" s="231">
        <f t="shared" si="35"/>
        <v>-13.5</v>
      </c>
      <c r="CE75" s="228"/>
      <c r="CF75" s="59">
        <v>4</v>
      </c>
      <c r="CG75" s="59">
        <v>2.5</v>
      </c>
      <c r="CH75" s="228">
        <f t="shared" si="36"/>
        <v>-11</v>
      </c>
      <c r="CI75" s="228">
        <f t="shared" si="37"/>
        <v>-15</v>
      </c>
      <c r="CJ75" s="59">
        <v>5</v>
      </c>
      <c r="CK75" s="59">
        <v>2.5</v>
      </c>
      <c r="CL75" s="228">
        <f t="shared" si="38"/>
        <v>-12.5</v>
      </c>
      <c r="CM75" s="228">
        <f t="shared" si="39"/>
        <v>-17.5</v>
      </c>
      <c r="CN75" s="225">
        <v>0</v>
      </c>
      <c r="CO75" s="59">
        <v>2.5</v>
      </c>
      <c r="CP75" s="228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28">
        <f t="shared" si="42"/>
        <v>-12.5</v>
      </c>
      <c r="CU75" s="200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28">
        <f t="shared" si="45"/>
        <v>-10</v>
      </c>
      <c r="CZ75" s="199">
        <v>3</v>
      </c>
      <c r="DA75" s="39">
        <v>2.5</v>
      </c>
      <c r="DB75" s="228">
        <f t="shared" si="46"/>
        <v>-7.5</v>
      </c>
      <c r="DC75" s="228">
        <f t="shared" si="47"/>
        <v>-10.5</v>
      </c>
      <c r="DD75" s="182">
        <v>0</v>
      </c>
      <c r="DE75" s="174">
        <v>2.5</v>
      </c>
      <c r="DF75" s="228">
        <f t="shared" si="48"/>
        <v>-8</v>
      </c>
      <c r="DG75" s="228">
        <f t="shared" si="49"/>
        <v>-8</v>
      </c>
      <c r="DH75" s="182">
        <v>0</v>
      </c>
      <c r="DI75" s="174">
        <v>2.5</v>
      </c>
      <c r="DJ75" s="228">
        <f t="shared" si="50"/>
        <v>-5.5</v>
      </c>
      <c r="DK75" s="228">
        <f t="shared" si="51"/>
        <v>-5.5</v>
      </c>
      <c r="DL75" s="182">
        <v>0</v>
      </c>
      <c r="DM75" s="174">
        <v>2.5</v>
      </c>
      <c r="DN75" s="228">
        <f t="shared" si="52"/>
        <v>-3</v>
      </c>
      <c r="DO75" s="228">
        <f t="shared" si="53"/>
        <v>-3</v>
      </c>
    </row>
    <row r="76" ht="14.25" customHeight="1" hidden="1" spans="1:119" s="240" customFormat="1" x14ac:dyDescent="0.25">
      <c r="A76" s="306" t="s">
        <v>1407</v>
      </c>
      <c r="B76" s="251" t="s">
        <v>869</v>
      </c>
      <c r="C76" s="247" t="s">
        <v>1408</v>
      </c>
      <c r="D76" s="244" t="s">
        <v>1409</v>
      </c>
      <c r="E76" s="244" t="s">
        <v>1002</v>
      </c>
      <c r="F76" s="245"/>
      <c r="G76" s="246">
        <v>46045</v>
      </c>
      <c r="H76" s="245"/>
      <c r="I76" s="245"/>
      <c r="J76" s="245"/>
      <c r="K76" s="245"/>
      <c r="L76" s="245"/>
      <c r="M76" s="245"/>
      <c r="N76" s="245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47"/>
      <c r="BE76" s="247"/>
      <c r="BF76" s="247"/>
      <c r="BG76" s="247"/>
      <c r="BH76" s="247"/>
      <c r="BI76" s="247"/>
      <c r="BJ76" s="247"/>
      <c r="BK76" s="247"/>
      <c r="BL76" s="247"/>
      <c r="BM76" s="247"/>
      <c r="BN76" s="247"/>
      <c r="BO76" s="247"/>
      <c r="BP76" s="247"/>
      <c r="BQ76" s="247"/>
      <c r="BR76" s="247"/>
      <c r="BS76" s="247"/>
      <c r="BT76" s="247"/>
      <c r="BU76" s="247"/>
      <c r="BV76" s="247"/>
      <c r="BW76" s="247"/>
      <c r="BX76" s="247"/>
      <c r="BY76" s="247"/>
      <c r="BZ76" s="249">
        <v>0.91</v>
      </c>
      <c r="CA76" s="247"/>
      <c r="CB76" s="249">
        <f t="shared" si="34"/>
        <v>3.41</v>
      </c>
      <c r="CC76" s="249"/>
      <c r="CD76" s="249">
        <f t="shared" si="35"/>
        <v>5.91</v>
      </c>
      <c r="CE76" s="250"/>
      <c r="CF76" s="251"/>
      <c r="CG76" s="251">
        <v>2.5</v>
      </c>
      <c r="CH76" s="250">
        <f t="shared" si="36"/>
        <v>8.41</v>
      </c>
      <c r="CI76" s="250">
        <f t="shared" si="37"/>
        <v>8.41</v>
      </c>
      <c r="CJ76" s="251"/>
      <c r="CK76" s="251">
        <v>2.5</v>
      </c>
      <c r="CL76" s="250">
        <f t="shared" si="38"/>
        <v>10.91</v>
      </c>
      <c r="CM76" s="250">
        <f t="shared" si="39"/>
        <v>10.91</v>
      </c>
      <c r="CN76" s="252">
        <v>0</v>
      </c>
      <c r="CO76" s="251">
        <v>2.5</v>
      </c>
      <c r="CP76" s="250">
        <f t="shared" si="40"/>
        <v>13.41</v>
      </c>
      <c r="CQ76" s="198">
        <f t="shared" si="41"/>
        <v>13.41</v>
      </c>
      <c r="CR76" s="253">
        <v>0</v>
      </c>
      <c r="CS76" s="251">
        <v>2.5</v>
      </c>
      <c r="CT76" s="250">
        <f t="shared" si="42"/>
        <v>15.91</v>
      </c>
      <c r="CU76" s="254">
        <f t="shared" si="43"/>
        <v>15.91</v>
      </c>
      <c r="CV76" s="253">
        <v>0</v>
      </c>
      <c r="CW76" s="251">
        <v>2.5</v>
      </c>
      <c r="CX76" s="250">
        <f t="shared" si="44"/>
        <v>18.41</v>
      </c>
      <c r="CY76" s="250">
        <f t="shared" si="45"/>
        <v>18.41</v>
      </c>
      <c r="CZ76" s="253">
        <v>0</v>
      </c>
      <c r="DA76" s="251">
        <v>2.5</v>
      </c>
      <c r="DB76" s="250">
        <f t="shared" si="46"/>
        <v>20.91</v>
      </c>
      <c r="DC76" s="250">
        <f t="shared" si="47"/>
        <v>20.91</v>
      </c>
      <c r="DD76" s="182">
        <v>0</v>
      </c>
      <c r="DE76" s="174">
        <v>2.5</v>
      </c>
      <c r="DF76" s="250">
        <f t="shared" si="48"/>
        <v>23.41</v>
      </c>
      <c r="DG76" s="250">
        <f t="shared" si="49"/>
        <v>23.41</v>
      </c>
      <c r="DH76" s="182">
        <v>0</v>
      </c>
      <c r="DI76" s="174">
        <v>2.5</v>
      </c>
      <c r="DJ76" s="250">
        <f t="shared" si="50"/>
        <v>25.91</v>
      </c>
      <c r="DK76" s="250">
        <f t="shared" si="51"/>
        <v>25.91</v>
      </c>
      <c r="DL76" s="182">
        <v>0</v>
      </c>
      <c r="DM76" s="174">
        <v>2.5</v>
      </c>
      <c r="DN76" s="250">
        <f t="shared" si="52"/>
        <v>28.41</v>
      </c>
      <c r="DO76" s="250">
        <f t="shared" si="53"/>
        <v>28.41</v>
      </c>
    </row>
    <row r="77" ht="14.25" customHeight="1" spans="1:119" s="341" customFormat="1" x14ac:dyDescent="0.25">
      <c r="A77" s="342" t="s">
        <v>135</v>
      </c>
      <c r="B77" s="343" t="s">
        <v>869</v>
      </c>
      <c r="C77" s="344" t="s">
        <v>1046</v>
      </c>
      <c r="D77" s="345" t="s">
        <v>1410</v>
      </c>
      <c r="E77" s="345" t="s">
        <v>462</v>
      </c>
      <c r="F77" s="346"/>
      <c r="G77" s="347">
        <v>46046</v>
      </c>
      <c r="H77" s="346"/>
      <c r="I77" s="346"/>
      <c r="J77" s="346"/>
      <c r="K77" s="346"/>
      <c r="L77" s="346"/>
      <c r="M77" s="346"/>
      <c r="N77" s="346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  <c r="AS77" s="344"/>
      <c r="AT77" s="344"/>
      <c r="AU77" s="344"/>
      <c r="AV77" s="344"/>
      <c r="AW77" s="344"/>
      <c r="AX77" s="344"/>
      <c r="AY77" s="344"/>
      <c r="AZ77" s="344"/>
      <c r="BA77" s="344"/>
      <c r="BB77" s="344"/>
      <c r="BC77" s="344"/>
      <c r="BD77" s="344"/>
      <c r="BE77" s="344"/>
      <c r="BF77" s="344"/>
      <c r="BG77" s="344"/>
      <c r="BH77" s="344"/>
      <c r="BI77" s="344"/>
      <c r="BJ77" s="344"/>
      <c r="BK77" s="344"/>
      <c r="BL77" s="344"/>
      <c r="BM77" s="344"/>
      <c r="BN77" s="344"/>
      <c r="BO77" s="344"/>
      <c r="BP77" s="344"/>
      <c r="BQ77" s="344"/>
      <c r="BR77" s="344"/>
      <c r="BS77" s="344"/>
      <c r="BT77" s="344"/>
      <c r="BU77" s="344"/>
      <c r="BV77" s="344"/>
      <c r="BW77" s="344"/>
      <c r="BX77" s="344"/>
      <c r="BY77" s="344"/>
      <c r="BZ77" s="348">
        <v>0.91</v>
      </c>
      <c r="CA77" s="344"/>
      <c r="CB77" s="348">
        <f t="shared" si="34"/>
        <v>3.41</v>
      </c>
      <c r="CC77" s="348"/>
      <c r="CD77" s="348">
        <f t="shared" si="35"/>
        <v>5.91</v>
      </c>
      <c r="CE77" s="349"/>
      <c r="CF77" s="343"/>
      <c r="CG77" s="343">
        <v>2.5</v>
      </c>
      <c r="CH77" s="349">
        <f t="shared" si="36"/>
        <v>8.41</v>
      </c>
      <c r="CI77" s="349">
        <f t="shared" si="37"/>
        <v>8.41</v>
      </c>
      <c r="CJ77" s="343">
        <v>2</v>
      </c>
      <c r="CK77" s="343">
        <v>2.5</v>
      </c>
      <c r="CL77" s="349">
        <f t="shared" si="38"/>
        <v>10.91</v>
      </c>
      <c r="CM77" s="349">
        <f t="shared" si="39"/>
        <v>8.91</v>
      </c>
      <c r="CN77" s="350">
        <v>0</v>
      </c>
      <c r="CO77" s="343">
        <v>2.5</v>
      </c>
      <c r="CP77" s="349">
        <f t="shared" si="40"/>
        <v>11.41</v>
      </c>
      <c r="CQ77" s="349">
        <f t="shared" si="41"/>
        <v>11.41</v>
      </c>
      <c r="CR77" s="351">
        <v>0</v>
      </c>
      <c r="CS77" s="343">
        <v>2.5</v>
      </c>
      <c r="CT77" s="349">
        <f t="shared" si="42"/>
        <v>13.91</v>
      </c>
      <c r="CU77" s="352">
        <f t="shared" si="43"/>
        <v>13.91</v>
      </c>
      <c r="CV77" s="351">
        <v>0</v>
      </c>
      <c r="CW77" s="343">
        <v>2.5</v>
      </c>
      <c r="CX77" s="349">
        <f t="shared" si="44"/>
        <v>16.41</v>
      </c>
      <c r="CY77" s="349">
        <f t="shared" si="45"/>
        <v>16.41</v>
      </c>
      <c r="CZ77" s="351">
        <v>0</v>
      </c>
      <c r="DA77" s="343">
        <v>2.5</v>
      </c>
      <c r="DB77" s="349">
        <f t="shared" si="46"/>
        <v>18.91</v>
      </c>
      <c r="DC77" s="349">
        <f t="shared" si="47"/>
        <v>18.91</v>
      </c>
      <c r="DD77" s="351">
        <v>2</v>
      </c>
      <c r="DE77" s="343">
        <v>2.5</v>
      </c>
      <c r="DF77" s="349">
        <f t="shared" si="48"/>
        <v>21.41</v>
      </c>
      <c r="DG77" s="349">
        <f t="shared" si="49"/>
        <v>19.41</v>
      </c>
      <c r="DH77" s="351">
        <v>0</v>
      </c>
      <c r="DI77" s="343">
        <v>2.5</v>
      </c>
      <c r="DJ77" s="349">
        <f t="shared" si="50"/>
        <v>21.91</v>
      </c>
      <c r="DK77" s="349">
        <f t="shared" si="51"/>
        <v>21.91</v>
      </c>
      <c r="DL77" s="351">
        <v>0</v>
      </c>
      <c r="DM77" s="343">
        <v>2.5</v>
      </c>
      <c r="DN77" s="349">
        <f t="shared" si="52"/>
        <v>24.41</v>
      </c>
      <c r="DO77" s="349">
        <f t="shared" si="53"/>
        <v>24.41</v>
      </c>
    </row>
    <row r="78" ht="14.25" customHeight="1" spans="1:119" x14ac:dyDescent="0.25">
      <c r="A78" s="322" t="s">
        <v>667</v>
      </c>
      <c r="B78" s="39" t="s">
        <v>869</v>
      </c>
      <c r="C78" s="322" t="s">
        <v>1048</v>
      </c>
      <c r="D78" s="234" t="s">
        <v>1411</v>
      </c>
      <c r="E78" s="234" t="s">
        <v>462</v>
      </c>
      <c r="F78" s="235" t="s">
        <v>1347</v>
      </c>
      <c r="G78" s="188">
        <v>46027</v>
      </c>
      <c r="H78" s="235"/>
      <c r="I78" s="235"/>
      <c r="J78" s="235"/>
      <c r="K78" s="235"/>
      <c r="L78" s="235"/>
      <c r="M78" s="235"/>
      <c r="N78" s="235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8</v>
      </c>
      <c r="DE78" s="174">
        <v>2.5</v>
      </c>
      <c r="DF78" s="196">
        <f t="shared" si="48"/>
        <v>22.58</v>
      </c>
      <c r="DG78" s="196">
        <f t="shared" si="49"/>
        <v>14.579999999999998</v>
      </c>
      <c r="DH78" s="182">
        <v>0</v>
      </c>
      <c r="DI78" s="174">
        <v>2.5</v>
      </c>
      <c r="DJ78" s="196">
        <f t="shared" si="50"/>
        <v>17.08</v>
      </c>
      <c r="DK78" s="196">
        <f t="shared" si="51"/>
        <v>17.08</v>
      </c>
      <c r="DL78" s="182">
        <v>0</v>
      </c>
      <c r="DM78" s="174">
        <v>2.5</v>
      </c>
      <c r="DN78" s="196">
        <f t="shared" si="52"/>
        <v>19.58</v>
      </c>
      <c r="DO78" s="196">
        <f t="shared" si="53"/>
        <v>19.58</v>
      </c>
    </row>
    <row r="79" ht="14.25" customHeight="1" hidden="1" spans="1:119" s="240" customFormat="1" x14ac:dyDescent="0.25">
      <c r="A79" s="306" t="s">
        <v>1412</v>
      </c>
      <c r="B79" s="251" t="s">
        <v>869</v>
      </c>
      <c r="C79" s="247" t="s">
        <v>1358</v>
      </c>
      <c r="D79" s="244" t="s">
        <v>1413</v>
      </c>
      <c r="E79" s="244" t="s">
        <v>100</v>
      </c>
      <c r="F79" s="245"/>
      <c r="G79" s="246">
        <v>46041</v>
      </c>
      <c r="H79" s="245"/>
      <c r="I79" s="245"/>
      <c r="J79" s="245"/>
      <c r="K79" s="245"/>
      <c r="L79" s="245"/>
      <c r="M79" s="245"/>
      <c r="N79" s="245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  <c r="AP79" s="247"/>
      <c r="AQ79" s="247"/>
      <c r="AR79" s="247"/>
      <c r="AS79" s="247"/>
      <c r="AT79" s="247"/>
      <c r="AU79" s="247"/>
      <c r="AV79" s="247"/>
      <c r="AW79" s="247"/>
      <c r="AX79" s="247"/>
      <c r="AY79" s="247"/>
      <c r="AZ79" s="247"/>
      <c r="BA79" s="247"/>
      <c r="BB79" s="247"/>
      <c r="BC79" s="247"/>
      <c r="BD79" s="247"/>
      <c r="BE79" s="247"/>
      <c r="BF79" s="247"/>
      <c r="BG79" s="247"/>
      <c r="BH79" s="247"/>
      <c r="BI79" s="247"/>
      <c r="BJ79" s="247"/>
      <c r="BK79" s="247"/>
      <c r="BL79" s="247"/>
      <c r="BM79" s="247"/>
      <c r="BN79" s="247"/>
      <c r="BO79" s="247"/>
      <c r="BP79" s="247"/>
      <c r="BQ79" s="247"/>
      <c r="BR79" s="247"/>
      <c r="BS79" s="247"/>
      <c r="BT79" s="247"/>
      <c r="BU79" s="247"/>
      <c r="BV79" s="247"/>
      <c r="BW79" s="247"/>
      <c r="BX79" s="247"/>
      <c r="BY79" s="247"/>
      <c r="BZ79" s="249">
        <v>0.91</v>
      </c>
      <c r="CA79" s="247"/>
      <c r="CB79" s="249">
        <f t="shared" si="34"/>
        <v>3.41</v>
      </c>
      <c r="CC79" s="249"/>
      <c r="CD79" s="249">
        <f t="shared" si="35"/>
        <v>5.91</v>
      </c>
      <c r="CE79" s="250"/>
      <c r="CF79" s="251"/>
      <c r="CG79" s="251">
        <v>2.5</v>
      </c>
      <c r="CH79" s="250">
        <f t="shared" si="36"/>
        <v>8.41</v>
      </c>
      <c r="CI79" s="250">
        <f t="shared" si="37"/>
        <v>8.41</v>
      </c>
      <c r="CJ79" s="251"/>
      <c r="CK79" s="251">
        <v>2.5</v>
      </c>
      <c r="CL79" s="250">
        <f t="shared" si="38"/>
        <v>10.91</v>
      </c>
      <c r="CM79" s="250">
        <f t="shared" si="39"/>
        <v>10.91</v>
      </c>
      <c r="CN79" s="252">
        <v>0</v>
      </c>
      <c r="CO79" s="251">
        <v>2.5</v>
      </c>
      <c r="CP79" s="250">
        <f t="shared" si="40"/>
        <v>13.41</v>
      </c>
      <c r="CQ79" s="250">
        <f t="shared" si="41"/>
        <v>13.41</v>
      </c>
      <c r="CR79" s="253">
        <v>0</v>
      </c>
      <c r="CS79" s="251">
        <v>2.5</v>
      </c>
      <c r="CT79" s="250">
        <f t="shared" si="42"/>
        <v>15.91</v>
      </c>
      <c r="CU79" s="254">
        <f t="shared" si="43"/>
        <v>15.91</v>
      </c>
      <c r="CV79" s="253">
        <v>0</v>
      </c>
      <c r="CW79" s="251">
        <v>2.5</v>
      </c>
      <c r="CX79" s="250">
        <f t="shared" si="44"/>
        <v>18.41</v>
      </c>
      <c r="CY79" s="250">
        <f t="shared" si="45"/>
        <v>18.41</v>
      </c>
      <c r="CZ79" s="253">
        <v>0</v>
      </c>
      <c r="DA79" s="251">
        <v>2.5</v>
      </c>
      <c r="DB79" s="250">
        <f t="shared" si="46"/>
        <v>20.91</v>
      </c>
      <c r="DC79" s="250">
        <f t="shared" si="47"/>
        <v>20.91</v>
      </c>
      <c r="DD79" s="182">
        <v>0</v>
      </c>
      <c r="DE79" s="174">
        <v>2.5</v>
      </c>
      <c r="DF79" s="250">
        <f t="shared" si="48"/>
        <v>23.41</v>
      </c>
      <c r="DG79" s="250">
        <f t="shared" si="49"/>
        <v>23.41</v>
      </c>
      <c r="DH79" s="182">
        <v>0</v>
      </c>
      <c r="DI79" s="174">
        <v>2.5</v>
      </c>
      <c r="DJ79" s="250">
        <f t="shared" si="50"/>
        <v>25.91</v>
      </c>
      <c r="DK79" s="250">
        <f t="shared" si="51"/>
        <v>25.91</v>
      </c>
      <c r="DL79" s="182">
        <v>0</v>
      </c>
      <c r="DM79" s="174">
        <v>2.5</v>
      </c>
      <c r="DN79" s="250">
        <f t="shared" si="52"/>
        <v>28.41</v>
      </c>
      <c r="DO79" s="250">
        <f t="shared" si="53"/>
        <v>28.41</v>
      </c>
    </row>
    <row r="80" ht="14.25" customHeight="1" spans="1:119" x14ac:dyDescent="0.25">
      <c r="A80" s="322" t="s">
        <v>131</v>
      </c>
      <c r="B80" s="39" t="s">
        <v>869</v>
      </c>
      <c r="C80" s="194" t="s">
        <v>876</v>
      </c>
      <c r="D80" s="234" t="s">
        <v>1414</v>
      </c>
      <c r="E80" s="234" t="s">
        <v>462</v>
      </c>
      <c r="F80" s="235"/>
      <c r="G80" s="188">
        <v>46043</v>
      </c>
      <c r="H80" s="235"/>
      <c r="I80" s="235"/>
      <c r="J80" s="235"/>
      <c r="K80" s="235"/>
      <c r="L80" s="235"/>
      <c r="M80" s="235"/>
      <c r="N80" s="235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41" customFormat="1" x14ac:dyDescent="0.25">
      <c r="A81" s="342" t="s">
        <v>111</v>
      </c>
      <c r="B81" s="343" t="s">
        <v>869</v>
      </c>
      <c r="C81" s="344" t="s">
        <v>1415</v>
      </c>
      <c r="D81" s="345" t="s">
        <v>1416</v>
      </c>
      <c r="E81" s="345" t="s">
        <v>462</v>
      </c>
      <c r="F81" s="346"/>
      <c r="G81" s="347">
        <v>46044</v>
      </c>
      <c r="H81" s="346"/>
      <c r="I81" s="346"/>
      <c r="J81" s="346"/>
      <c r="K81" s="346"/>
      <c r="L81" s="346"/>
      <c r="M81" s="346"/>
      <c r="N81" s="346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44"/>
      <c r="AA81" s="344"/>
      <c r="AB81" s="344"/>
      <c r="AC81" s="344"/>
      <c r="AD81" s="344"/>
      <c r="AE81" s="344"/>
      <c r="AF81" s="344"/>
      <c r="AG81" s="344"/>
      <c r="AH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  <c r="AS81" s="344"/>
      <c r="AT81" s="344"/>
      <c r="AU81" s="344"/>
      <c r="AV81" s="344"/>
      <c r="AW81" s="344"/>
      <c r="AX81" s="344"/>
      <c r="AY81" s="344"/>
      <c r="AZ81" s="344"/>
      <c r="BA81" s="344"/>
      <c r="BB81" s="344"/>
      <c r="BC81" s="344"/>
      <c r="BD81" s="344"/>
      <c r="BE81" s="344"/>
      <c r="BF81" s="344"/>
      <c r="BG81" s="344"/>
      <c r="BH81" s="344"/>
      <c r="BI81" s="344"/>
      <c r="BJ81" s="344"/>
      <c r="BK81" s="344"/>
      <c r="BL81" s="344"/>
      <c r="BM81" s="344"/>
      <c r="BN81" s="344"/>
      <c r="BO81" s="344"/>
      <c r="BP81" s="344"/>
      <c r="BQ81" s="344"/>
      <c r="BR81" s="344"/>
      <c r="BS81" s="344"/>
      <c r="BT81" s="344"/>
      <c r="BU81" s="344"/>
      <c r="BV81" s="344"/>
      <c r="BW81" s="344"/>
      <c r="BX81" s="344"/>
      <c r="BY81" s="344"/>
      <c r="BZ81" s="348">
        <v>0.91</v>
      </c>
      <c r="CA81" s="344"/>
      <c r="CB81" s="348">
        <f t="shared" si="34"/>
        <v>3.41</v>
      </c>
      <c r="CC81" s="348"/>
      <c r="CD81" s="348">
        <f t="shared" si="35"/>
        <v>5.91</v>
      </c>
      <c r="CE81" s="349"/>
      <c r="CF81" s="343"/>
      <c r="CG81" s="343">
        <v>2.5</v>
      </c>
      <c r="CH81" s="349">
        <f t="shared" si="36"/>
        <v>8.41</v>
      </c>
      <c r="CI81" s="349">
        <f t="shared" si="37"/>
        <v>8.41</v>
      </c>
      <c r="CJ81" s="343"/>
      <c r="CK81" s="343">
        <v>2.5</v>
      </c>
      <c r="CL81" s="349">
        <f t="shared" si="38"/>
        <v>10.91</v>
      </c>
      <c r="CM81" s="349">
        <f t="shared" si="39"/>
        <v>10.91</v>
      </c>
      <c r="CN81" s="350">
        <v>0</v>
      </c>
      <c r="CO81" s="343">
        <v>2.5</v>
      </c>
      <c r="CP81" s="349">
        <f t="shared" si="40"/>
        <v>13.41</v>
      </c>
      <c r="CQ81" s="349">
        <f t="shared" si="41"/>
        <v>13.41</v>
      </c>
      <c r="CR81" s="351">
        <v>0</v>
      </c>
      <c r="CS81" s="343">
        <v>2.5</v>
      </c>
      <c r="CT81" s="349">
        <f t="shared" si="42"/>
        <v>15.91</v>
      </c>
      <c r="CU81" s="352">
        <f t="shared" si="43"/>
        <v>15.91</v>
      </c>
      <c r="CV81" s="351">
        <v>0</v>
      </c>
      <c r="CW81" s="343">
        <v>2.5</v>
      </c>
      <c r="CX81" s="349">
        <f t="shared" si="44"/>
        <v>18.41</v>
      </c>
      <c r="CY81" s="349">
        <f t="shared" si="45"/>
        <v>18.41</v>
      </c>
      <c r="CZ81" s="351">
        <v>0</v>
      </c>
      <c r="DA81" s="343">
        <v>2.5</v>
      </c>
      <c r="DB81" s="349">
        <f t="shared" si="46"/>
        <v>20.91</v>
      </c>
      <c r="DC81" s="349">
        <f t="shared" si="47"/>
        <v>20.91</v>
      </c>
      <c r="DD81" s="351">
        <v>0</v>
      </c>
      <c r="DE81" s="343">
        <v>2.5</v>
      </c>
      <c r="DF81" s="349">
        <f t="shared" si="48"/>
        <v>23.41</v>
      </c>
      <c r="DG81" s="349">
        <f t="shared" si="49"/>
        <v>23.41</v>
      </c>
      <c r="DH81" s="351">
        <v>0</v>
      </c>
      <c r="DI81" s="343">
        <v>2.5</v>
      </c>
      <c r="DJ81" s="349">
        <f t="shared" si="50"/>
        <v>25.91</v>
      </c>
      <c r="DK81" s="349">
        <f t="shared" si="51"/>
        <v>25.91</v>
      </c>
      <c r="DL81" s="351">
        <v>0</v>
      </c>
      <c r="DM81" s="343">
        <v>2.5</v>
      </c>
      <c r="DN81" s="349">
        <f t="shared" si="52"/>
        <v>28.41</v>
      </c>
      <c r="DO81" s="349">
        <f t="shared" si="53"/>
        <v>28.41</v>
      </c>
    </row>
    <row r="82" ht="14.25" customHeight="1" hidden="1" spans="1:119" s="240" customFormat="1" x14ac:dyDescent="0.25">
      <c r="A82" s="306" t="s">
        <v>1417</v>
      </c>
      <c r="B82" s="251" t="s">
        <v>869</v>
      </c>
      <c r="C82" s="247" t="s">
        <v>1418</v>
      </c>
      <c r="D82" s="244" t="s">
        <v>1419</v>
      </c>
      <c r="E82" s="244" t="s">
        <v>66</v>
      </c>
      <c r="F82" s="245"/>
      <c r="G82" s="246">
        <v>46042</v>
      </c>
      <c r="H82" s="245"/>
      <c r="I82" s="245"/>
      <c r="J82" s="245"/>
      <c r="K82" s="245"/>
      <c r="L82" s="245"/>
      <c r="M82" s="245"/>
      <c r="N82" s="245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7"/>
      <c r="AG82" s="247"/>
      <c r="AH82" s="247"/>
      <c r="AI82" s="247"/>
      <c r="AJ82" s="247"/>
      <c r="AK82" s="247"/>
      <c r="AL82" s="247"/>
      <c r="AM82" s="247"/>
      <c r="AN82" s="247"/>
      <c r="AO82" s="247"/>
      <c r="AP82" s="247"/>
      <c r="AQ82" s="247"/>
      <c r="AR82" s="247"/>
      <c r="AS82" s="247"/>
      <c r="AT82" s="247"/>
      <c r="AU82" s="247"/>
      <c r="AV82" s="247"/>
      <c r="AW82" s="247"/>
      <c r="AX82" s="247"/>
      <c r="AY82" s="247"/>
      <c r="AZ82" s="247"/>
      <c r="BA82" s="247"/>
      <c r="BB82" s="247"/>
      <c r="BC82" s="247"/>
      <c r="BD82" s="247"/>
      <c r="BE82" s="247"/>
      <c r="BF82" s="247"/>
      <c r="BG82" s="247"/>
      <c r="BH82" s="247"/>
      <c r="BI82" s="247"/>
      <c r="BJ82" s="247"/>
      <c r="BK82" s="247"/>
      <c r="BL82" s="247"/>
      <c r="BM82" s="247"/>
      <c r="BN82" s="247"/>
      <c r="BO82" s="247"/>
      <c r="BP82" s="247"/>
      <c r="BQ82" s="247"/>
      <c r="BR82" s="247"/>
      <c r="BS82" s="247"/>
      <c r="BT82" s="247"/>
      <c r="BU82" s="247"/>
      <c r="BV82" s="247"/>
      <c r="BW82" s="247"/>
      <c r="BX82" s="247"/>
      <c r="BY82" s="247"/>
      <c r="BZ82" s="249">
        <v>0.91</v>
      </c>
      <c r="CA82" s="247"/>
      <c r="CB82" s="249">
        <f t="shared" si="34"/>
        <v>3.41</v>
      </c>
      <c r="CC82" s="249"/>
      <c r="CD82" s="249">
        <f t="shared" si="35"/>
        <v>5.91</v>
      </c>
      <c r="CE82" s="250"/>
      <c r="CF82" s="251"/>
      <c r="CG82" s="251">
        <v>2.5</v>
      </c>
      <c r="CH82" s="250">
        <f t="shared" si="36"/>
        <v>8.41</v>
      </c>
      <c r="CI82" s="250">
        <f t="shared" si="37"/>
        <v>8.41</v>
      </c>
      <c r="CJ82" s="251"/>
      <c r="CK82" s="251">
        <v>2.5</v>
      </c>
      <c r="CL82" s="250">
        <f t="shared" si="38"/>
        <v>10.91</v>
      </c>
      <c r="CM82" s="250">
        <f t="shared" si="39"/>
        <v>10.91</v>
      </c>
      <c r="CN82" s="252">
        <v>0</v>
      </c>
      <c r="CO82" s="251">
        <v>2.5</v>
      </c>
      <c r="CP82" s="250">
        <f t="shared" si="40"/>
        <v>13.41</v>
      </c>
      <c r="CQ82" s="250">
        <f t="shared" si="41"/>
        <v>13.41</v>
      </c>
      <c r="CR82" s="253">
        <v>0</v>
      </c>
      <c r="CS82" s="251">
        <v>2.5</v>
      </c>
      <c r="CT82" s="250">
        <f t="shared" si="42"/>
        <v>15.91</v>
      </c>
      <c r="CU82" s="254">
        <f t="shared" si="43"/>
        <v>15.91</v>
      </c>
      <c r="CV82" s="253">
        <v>0</v>
      </c>
      <c r="CW82" s="251">
        <v>2.5</v>
      </c>
      <c r="CX82" s="250">
        <f t="shared" si="44"/>
        <v>18.41</v>
      </c>
      <c r="CY82" s="250">
        <f t="shared" si="45"/>
        <v>18.41</v>
      </c>
      <c r="CZ82" s="253">
        <v>0</v>
      </c>
      <c r="DA82" s="251">
        <v>2.5</v>
      </c>
      <c r="DB82" s="250">
        <f t="shared" si="46"/>
        <v>20.91</v>
      </c>
      <c r="DC82" s="250">
        <f t="shared" si="47"/>
        <v>20.91</v>
      </c>
      <c r="DD82" s="182">
        <v>0</v>
      </c>
      <c r="DE82" s="174">
        <v>2.5</v>
      </c>
      <c r="DF82" s="250">
        <f t="shared" si="48"/>
        <v>23.41</v>
      </c>
      <c r="DG82" s="250">
        <f t="shared" si="49"/>
        <v>23.41</v>
      </c>
      <c r="DH82" s="182">
        <v>0</v>
      </c>
      <c r="DI82" s="174">
        <v>2.5</v>
      </c>
      <c r="DJ82" s="250">
        <f t="shared" si="50"/>
        <v>25.91</v>
      </c>
      <c r="DK82" s="250">
        <f t="shared" si="51"/>
        <v>25.91</v>
      </c>
      <c r="DL82" s="182">
        <v>0</v>
      </c>
      <c r="DM82" s="174">
        <v>2.5</v>
      </c>
      <c r="DN82" s="250">
        <f t="shared" si="52"/>
        <v>28.41</v>
      </c>
      <c r="DO82" s="250">
        <f t="shared" si="53"/>
        <v>28.41</v>
      </c>
    </row>
    <row r="83" ht="14.25" customHeight="1" spans="1:119" s="324" customFormat="1" x14ac:dyDescent="0.25">
      <c r="A83" s="325" t="s">
        <v>465</v>
      </c>
      <c r="B83" s="326" t="s">
        <v>869</v>
      </c>
      <c r="C83" s="325" t="s">
        <v>1420</v>
      </c>
      <c r="D83" s="328" t="s">
        <v>1421</v>
      </c>
      <c r="E83" s="328" t="s">
        <v>466</v>
      </c>
      <c r="F83" s="329"/>
      <c r="G83" s="330">
        <v>46057</v>
      </c>
      <c r="H83" s="329"/>
      <c r="I83" s="329"/>
      <c r="J83" s="329"/>
      <c r="K83" s="329"/>
      <c r="L83" s="329"/>
      <c r="M83" s="329"/>
      <c r="N83" s="329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  <c r="BC83" s="331"/>
      <c r="BD83" s="331"/>
      <c r="BE83" s="331"/>
      <c r="BF83" s="331"/>
      <c r="BG83" s="331"/>
      <c r="BH83" s="331"/>
      <c r="BI83" s="331"/>
      <c r="BJ83" s="331"/>
      <c r="BK83" s="331"/>
      <c r="BL83" s="331"/>
      <c r="BM83" s="331"/>
      <c r="BN83" s="331"/>
      <c r="BO83" s="331"/>
      <c r="BP83" s="331"/>
      <c r="BQ83" s="331"/>
      <c r="BR83" s="331"/>
      <c r="BS83" s="331"/>
      <c r="BT83" s="331"/>
      <c r="BU83" s="331"/>
      <c r="BV83" s="331"/>
      <c r="BW83" s="331"/>
      <c r="BX83" s="331"/>
      <c r="BY83" s="331"/>
      <c r="BZ83" s="332"/>
      <c r="CA83" s="331"/>
      <c r="CB83" s="331">
        <v>2.5</v>
      </c>
      <c r="CC83" s="332"/>
      <c r="CD83" s="332">
        <f t="shared" si="35"/>
        <v>5</v>
      </c>
      <c r="CE83" s="333"/>
      <c r="CF83" s="326"/>
      <c r="CG83" s="326">
        <v>2.5</v>
      </c>
      <c r="CH83" s="333">
        <f t="shared" si="36"/>
        <v>7.5</v>
      </c>
      <c r="CI83" s="333">
        <f t="shared" si="37"/>
        <v>7.5</v>
      </c>
      <c r="CJ83" s="326"/>
      <c r="CK83" s="326">
        <v>2.5</v>
      </c>
      <c r="CL83" s="333">
        <f t="shared" si="38"/>
        <v>10</v>
      </c>
      <c r="CM83" s="333">
        <f t="shared" si="39"/>
        <v>10</v>
      </c>
      <c r="CN83" s="334">
        <v>0</v>
      </c>
      <c r="CO83" s="326">
        <v>2.5</v>
      </c>
      <c r="CP83" s="333">
        <f t="shared" si="40"/>
        <v>12.5</v>
      </c>
      <c r="CQ83" s="333">
        <f t="shared" si="41"/>
        <v>12.5</v>
      </c>
      <c r="CR83" s="335">
        <v>0</v>
      </c>
      <c r="CS83" s="326">
        <v>2.5</v>
      </c>
      <c r="CT83" s="333">
        <f t="shared" si="42"/>
        <v>15</v>
      </c>
      <c r="CU83" s="336">
        <f t="shared" si="43"/>
        <v>15</v>
      </c>
      <c r="CV83" s="335">
        <v>0</v>
      </c>
      <c r="CW83" s="326">
        <v>2.5</v>
      </c>
      <c r="CX83" s="333">
        <f t="shared" si="44"/>
        <v>17.5</v>
      </c>
      <c r="CY83" s="333">
        <f t="shared" si="45"/>
        <v>17.5</v>
      </c>
      <c r="CZ83" s="335">
        <v>0</v>
      </c>
      <c r="DA83" s="326">
        <v>2.5</v>
      </c>
      <c r="DB83" s="333">
        <f t="shared" si="46"/>
        <v>20</v>
      </c>
      <c r="DC83" s="333">
        <f t="shared" si="47"/>
        <v>20</v>
      </c>
      <c r="DD83" s="182">
        <v>0</v>
      </c>
      <c r="DE83" s="174">
        <v>2.5</v>
      </c>
      <c r="DF83" s="333">
        <f t="shared" si="48"/>
        <v>22.5</v>
      </c>
      <c r="DG83" s="333">
        <f t="shared" si="49"/>
        <v>22.5</v>
      </c>
      <c r="DH83" s="182">
        <v>0</v>
      </c>
      <c r="DI83" s="174">
        <v>2.5</v>
      </c>
      <c r="DJ83" s="333">
        <f t="shared" si="50"/>
        <v>25</v>
      </c>
      <c r="DK83" s="333">
        <f t="shared" si="51"/>
        <v>25</v>
      </c>
      <c r="DL83" s="182">
        <v>0</v>
      </c>
      <c r="DM83" s="174">
        <v>2.5</v>
      </c>
      <c r="DN83" s="333">
        <f t="shared" si="52"/>
        <v>27.5</v>
      </c>
      <c r="DO83" s="333">
        <f t="shared" si="53"/>
        <v>27.5</v>
      </c>
    </row>
    <row r="84" ht="14.25" customHeight="1" hidden="1" spans="1:119" s="240" customFormat="1" x14ac:dyDescent="0.25">
      <c r="A84" s="306" t="s">
        <v>615</v>
      </c>
      <c r="B84" s="251" t="s">
        <v>869</v>
      </c>
      <c r="C84" s="306" t="s">
        <v>1422</v>
      </c>
      <c r="D84" s="244" t="s">
        <v>1060</v>
      </c>
      <c r="E84" s="244" t="s">
        <v>462</v>
      </c>
      <c r="F84" s="245" t="s">
        <v>1347</v>
      </c>
      <c r="G84" s="246">
        <v>46055</v>
      </c>
      <c r="H84" s="245"/>
      <c r="I84" s="245"/>
      <c r="J84" s="245"/>
      <c r="K84" s="245"/>
      <c r="L84" s="245"/>
      <c r="M84" s="245"/>
      <c r="N84" s="245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47"/>
      <c r="AE84" s="247"/>
      <c r="AF84" s="247"/>
      <c r="AG84" s="247"/>
      <c r="AH84" s="247"/>
      <c r="AI84" s="247"/>
      <c r="AJ84" s="247"/>
      <c r="AK84" s="247"/>
      <c r="AL84" s="247"/>
      <c r="AM84" s="247"/>
      <c r="AN84" s="247"/>
      <c r="AO84" s="247"/>
      <c r="AP84" s="247"/>
      <c r="AQ84" s="247"/>
      <c r="AR84" s="247"/>
      <c r="AS84" s="247"/>
      <c r="AT84" s="247"/>
      <c r="AU84" s="247"/>
      <c r="AV84" s="247"/>
      <c r="AW84" s="247"/>
      <c r="AX84" s="247"/>
      <c r="AY84" s="247"/>
      <c r="AZ84" s="247"/>
      <c r="BA84" s="247"/>
      <c r="BB84" s="247"/>
      <c r="BC84" s="247"/>
      <c r="BD84" s="247"/>
      <c r="BE84" s="247"/>
      <c r="BF84" s="247"/>
      <c r="BG84" s="247"/>
      <c r="BH84" s="247"/>
      <c r="BI84" s="247"/>
      <c r="BJ84" s="247"/>
      <c r="BK84" s="247"/>
      <c r="BL84" s="247"/>
      <c r="BM84" s="247"/>
      <c r="BN84" s="247"/>
      <c r="BO84" s="247"/>
      <c r="BP84" s="247"/>
      <c r="BQ84" s="247"/>
      <c r="BR84" s="247"/>
      <c r="BS84" s="247"/>
      <c r="BT84" s="247"/>
      <c r="BU84" s="247"/>
      <c r="BV84" s="247"/>
      <c r="BW84" s="247"/>
      <c r="BX84" s="247"/>
      <c r="BY84" s="247"/>
      <c r="BZ84" s="249"/>
      <c r="CA84" s="247"/>
      <c r="CB84" s="247">
        <v>2.33</v>
      </c>
      <c r="CC84" s="249"/>
      <c r="CD84" s="249">
        <f t="shared" si="35"/>
        <v>4.83</v>
      </c>
      <c r="CE84" s="250"/>
      <c r="CF84" s="251"/>
      <c r="CG84" s="251">
        <v>2.5</v>
      </c>
      <c r="CH84" s="250">
        <f t="shared" si="36"/>
        <v>7.33</v>
      </c>
      <c r="CI84" s="250">
        <f t="shared" si="37"/>
        <v>7.33</v>
      </c>
      <c r="CJ84" s="251"/>
      <c r="CK84" s="251">
        <v>2.5</v>
      </c>
      <c r="CL84" s="250">
        <f t="shared" si="38"/>
        <v>9.83</v>
      </c>
      <c r="CM84" s="250">
        <f t="shared" si="39"/>
        <v>9.83</v>
      </c>
      <c r="CN84" s="252">
        <v>0</v>
      </c>
      <c r="CO84" s="251">
        <v>2.5</v>
      </c>
      <c r="CP84" s="250">
        <f t="shared" si="40"/>
        <v>12.33</v>
      </c>
      <c r="CQ84" s="250">
        <f t="shared" si="41"/>
        <v>12.33</v>
      </c>
      <c r="CR84" s="253">
        <v>0</v>
      </c>
      <c r="CS84" s="251">
        <v>2.5</v>
      </c>
      <c r="CT84" s="250">
        <f t="shared" si="42"/>
        <v>14.83</v>
      </c>
      <c r="CU84" s="254">
        <f t="shared" si="43"/>
        <v>14.83</v>
      </c>
      <c r="CV84" s="253">
        <v>0</v>
      </c>
      <c r="CW84" s="251">
        <v>2.5</v>
      </c>
      <c r="CX84" s="250">
        <f t="shared" si="44"/>
        <v>17.33</v>
      </c>
      <c r="CY84" s="250">
        <f t="shared" si="45"/>
        <v>17.33</v>
      </c>
      <c r="CZ84" s="253">
        <v>0</v>
      </c>
      <c r="DA84" s="251">
        <v>2.5</v>
      </c>
      <c r="DB84" s="250">
        <f t="shared" si="46"/>
        <v>19.83</v>
      </c>
      <c r="DC84" s="250">
        <f t="shared" si="47"/>
        <v>19.83</v>
      </c>
      <c r="DD84" s="182">
        <v>0</v>
      </c>
      <c r="DE84" s="174">
        <v>2.5</v>
      </c>
      <c r="DF84" s="250">
        <f t="shared" si="48"/>
        <v>22.33</v>
      </c>
      <c r="DG84" s="250">
        <f t="shared" si="49"/>
        <v>22.33</v>
      </c>
      <c r="DH84" s="182">
        <v>0</v>
      </c>
      <c r="DI84" s="174">
        <v>2.5</v>
      </c>
      <c r="DJ84" s="250">
        <f t="shared" si="50"/>
        <v>24.83</v>
      </c>
      <c r="DK84" s="250">
        <f t="shared" si="51"/>
        <v>24.83</v>
      </c>
      <c r="DL84" s="182">
        <v>0</v>
      </c>
      <c r="DM84" s="174">
        <v>2.5</v>
      </c>
      <c r="DN84" s="250">
        <f t="shared" si="52"/>
        <v>27.33</v>
      </c>
      <c r="DO84" s="250">
        <f t="shared" si="53"/>
        <v>27.33</v>
      </c>
    </row>
    <row r="85" ht="14.25" customHeight="1" spans="1:119" x14ac:dyDescent="0.25">
      <c r="A85" s="322" t="s">
        <v>618</v>
      </c>
      <c r="B85" s="39" t="s">
        <v>869</v>
      </c>
      <c r="C85" s="322" t="s">
        <v>1423</v>
      </c>
      <c r="D85" s="234" t="s">
        <v>1424</v>
      </c>
      <c r="E85" s="234" t="s">
        <v>1425</v>
      </c>
      <c r="F85" s="235" t="s">
        <v>1347</v>
      </c>
      <c r="G85" s="188">
        <v>46055</v>
      </c>
      <c r="H85" s="235"/>
      <c r="I85" s="235"/>
      <c r="J85" s="235"/>
      <c r="K85" s="235"/>
      <c r="L85" s="235"/>
      <c r="M85" s="235"/>
      <c r="N85" s="235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2</v>
      </c>
      <c r="DE85" s="174">
        <v>2.5</v>
      </c>
      <c r="DF85" s="196">
        <f t="shared" si="48"/>
        <v>22.33</v>
      </c>
      <c r="DG85" s="196">
        <f t="shared" si="49"/>
        <v>20.33</v>
      </c>
      <c r="DH85" s="182">
        <v>0</v>
      </c>
      <c r="DI85" s="174">
        <v>2.5</v>
      </c>
      <c r="DJ85" s="196">
        <f t="shared" si="50"/>
        <v>22.83</v>
      </c>
      <c r="DK85" s="196">
        <f t="shared" si="51"/>
        <v>22.83</v>
      </c>
      <c r="DL85" s="182">
        <v>0</v>
      </c>
      <c r="DM85" s="174">
        <v>2.5</v>
      </c>
      <c r="DN85" s="196">
        <f t="shared" si="52"/>
        <v>25.33</v>
      </c>
      <c r="DO85" s="196">
        <f t="shared" si="53"/>
        <v>25.33</v>
      </c>
    </row>
    <row r="86" ht="14.25" customHeight="1" spans="1:119" s="289" customFormat="1" x14ac:dyDescent="0.25">
      <c r="A86" s="353" t="s">
        <v>97</v>
      </c>
      <c r="B86" s="299"/>
      <c r="C86" s="353" t="s">
        <v>1426</v>
      </c>
      <c r="D86" s="293" t="s">
        <v>1065</v>
      </c>
      <c r="E86" s="293" t="s">
        <v>100</v>
      </c>
      <c r="F86" s="294"/>
      <c r="G86" s="295">
        <v>46055</v>
      </c>
      <c r="H86" s="294"/>
      <c r="I86" s="294"/>
      <c r="J86" s="294"/>
      <c r="K86" s="294"/>
      <c r="L86" s="294"/>
      <c r="M86" s="294"/>
      <c r="N86" s="294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7"/>
      <c r="CA86" s="296"/>
      <c r="CB86" s="296">
        <v>2.5</v>
      </c>
      <c r="CC86" s="297"/>
      <c r="CD86" s="197">
        <f t="shared" si="35"/>
        <v>5</v>
      </c>
      <c r="CE86" s="298"/>
      <c r="CF86" s="299"/>
      <c r="CG86" s="39">
        <v>2.5</v>
      </c>
      <c r="CH86" s="298">
        <f t="shared" si="36"/>
        <v>7.5</v>
      </c>
      <c r="CI86" s="298">
        <f t="shared" si="37"/>
        <v>7.5</v>
      </c>
      <c r="CJ86" s="299"/>
      <c r="CK86" s="299">
        <v>2.5</v>
      </c>
      <c r="CL86" s="298">
        <f t="shared" ref="CL86" si="125">CI86+CK86</f>
        <v>10</v>
      </c>
      <c r="CM86" s="298">
        <f t="shared" ref="CM86" si="126">CL86-CJ86</f>
        <v>10</v>
      </c>
      <c r="CN86" s="300">
        <v>0</v>
      </c>
      <c r="CO86" s="299">
        <v>2.5</v>
      </c>
      <c r="CP86" s="298">
        <f t="shared" ref="CP86" si="127">CM86+CO86</f>
        <v>12.5</v>
      </c>
      <c r="CQ86" s="198">
        <f t="shared" ref="CQ86" si="128">CP86-CN86</f>
        <v>12.5</v>
      </c>
      <c r="CR86" s="301">
        <v>6</v>
      </c>
      <c r="CS86" s="299">
        <v>2.5</v>
      </c>
      <c r="CT86" s="298">
        <f t="shared" si="42"/>
        <v>15</v>
      </c>
      <c r="CU86" s="302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8">
        <f t="shared" si="45"/>
        <v>11.5</v>
      </c>
      <c r="CZ86" s="199">
        <v>0</v>
      </c>
      <c r="DA86" s="39">
        <v>2.5</v>
      </c>
      <c r="DB86" s="298">
        <f t="shared" si="46"/>
        <v>14</v>
      </c>
      <c r="DC86" s="298">
        <f t="shared" si="47"/>
        <v>14</v>
      </c>
      <c r="DD86" s="182">
        <v>3</v>
      </c>
      <c r="DE86" s="174">
        <v>2.5</v>
      </c>
      <c r="DF86" s="298">
        <f t="shared" si="48"/>
        <v>16.5</v>
      </c>
      <c r="DG86" s="298">
        <f t="shared" si="49"/>
        <v>13.5</v>
      </c>
      <c r="DH86" s="182">
        <v>0</v>
      </c>
      <c r="DI86" s="174">
        <v>2.5</v>
      </c>
      <c r="DJ86" s="298">
        <f t="shared" si="50"/>
        <v>16</v>
      </c>
      <c r="DK86" s="298">
        <f t="shared" si="51"/>
        <v>16</v>
      </c>
      <c r="DL86" s="182">
        <v>0</v>
      </c>
      <c r="DM86" s="174">
        <v>2.5</v>
      </c>
      <c r="DN86" s="298">
        <f t="shared" si="52"/>
        <v>18.5</v>
      </c>
      <c r="DO86" s="298">
        <f t="shared" si="53"/>
        <v>18.5</v>
      </c>
    </row>
    <row r="87" ht="14.25" customHeight="1" hidden="1" spans="1:119" s="240" customFormat="1" x14ac:dyDescent="0.25">
      <c r="A87" s="306" t="s">
        <v>532</v>
      </c>
      <c r="B87" s="251" t="s">
        <v>869</v>
      </c>
      <c r="C87" s="306" t="s">
        <v>1427</v>
      </c>
      <c r="D87" s="244" t="s">
        <v>1428</v>
      </c>
      <c r="E87" s="244" t="s">
        <v>630</v>
      </c>
      <c r="F87" s="245" t="s">
        <v>1326</v>
      </c>
      <c r="G87" s="246">
        <v>46077</v>
      </c>
      <c r="H87" s="245"/>
      <c r="I87" s="245"/>
      <c r="J87" s="245"/>
      <c r="K87" s="245"/>
      <c r="L87" s="245"/>
      <c r="M87" s="245"/>
      <c r="N87" s="245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47"/>
      <c r="BE87" s="247"/>
      <c r="BF87" s="247"/>
      <c r="BG87" s="247"/>
      <c r="BH87" s="247"/>
      <c r="BI87" s="247"/>
      <c r="BJ87" s="247"/>
      <c r="BK87" s="247"/>
      <c r="BL87" s="247"/>
      <c r="BM87" s="247"/>
      <c r="BN87" s="247"/>
      <c r="BO87" s="247"/>
      <c r="BP87" s="247"/>
      <c r="BQ87" s="247"/>
      <c r="BR87" s="247"/>
      <c r="BS87" s="247"/>
      <c r="BT87" s="247"/>
      <c r="BU87" s="247"/>
      <c r="BV87" s="247"/>
      <c r="BW87" s="247"/>
      <c r="BX87" s="247"/>
      <c r="BY87" s="247"/>
      <c r="BZ87" s="249"/>
      <c r="CA87" s="247"/>
      <c r="CB87" s="247">
        <v>0.92</v>
      </c>
      <c r="CC87" s="249"/>
      <c r="CD87" s="249">
        <f t="shared" si="35"/>
        <v>3.42</v>
      </c>
      <c r="CE87" s="250"/>
      <c r="CF87" s="251"/>
      <c r="CG87" s="251">
        <v>2.5</v>
      </c>
      <c r="CH87" s="250">
        <f t="shared" si="36"/>
        <v>5.92</v>
      </c>
      <c r="CI87" s="250">
        <f t="shared" si="37"/>
        <v>5.92</v>
      </c>
      <c r="CJ87" s="251"/>
      <c r="CK87" s="251">
        <v>2.5</v>
      </c>
      <c r="CL87" s="250">
        <f t="shared" si="38"/>
        <v>8.42</v>
      </c>
      <c r="CM87" s="250">
        <f t="shared" si="39"/>
        <v>8.42</v>
      </c>
      <c r="CN87" s="252">
        <v>0</v>
      </c>
      <c r="CO87" s="251">
        <v>2.5</v>
      </c>
      <c r="CP87" s="250">
        <f t="shared" si="40"/>
        <v>10.92</v>
      </c>
      <c r="CQ87" s="250">
        <f t="shared" si="41"/>
        <v>10.92</v>
      </c>
      <c r="CR87" s="253">
        <v>0</v>
      </c>
      <c r="CS87" s="251">
        <v>2.5</v>
      </c>
      <c r="CT87" s="250">
        <f t="shared" si="42"/>
        <v>13.42</v>
      </c>
      <c r="CU87" s="254">
        <f t="shared" si="43"/>
        <v>13.42</v>
      </c>
      <c r="CV87" s="253">
        <v>0</v>
      </c>
      <c r="CW87" s="251">
        <v>2.5</v>
      </c>
      <c r="CX87" s="250">
        <f t="shared" si="44"/>
        <v>15.92</v>
      </c>
      <c r="CY87" s="250">
        <f t="shared" si="45"/>
        <v>15.92</v>
      </c>
      <c r="CZ87" s="253">
        <v>0</v>
      </c>
      <c r="DA87" s="251">
        <v>2.5</v>
      </c>
      <c r="DB87" s="250">
        <f t="shared" si="46"/>
        <v>18.42</v>
      </c>
      <c r="DC87" s="250">
        <f t="shared" si="47"/>
        <v>18.42</v>
      </c>
      <c r="DD87" s="182">
        <v>0</v>
      </c>
      <c r="DE87" s="174">
        <v>2.5</v>
      </c>
      <c r="DF87" s="250">
        <f t="shared" si="48"/>
        <v>20.92</v>
      </c>
      <c r="DG87" s="250">
        <f t="shared" si="49"/>
        <v>20.92</v>
      </c>
      <c r="DH87" s="182">
        <v>0</v>
      </c>
      <c r="DI87" s="174">
        <v>2.5</v>
      </c>
      <c r="DJ87" s="250">
        <f t="shared" si="50"/>
        <v>23.42</v>
      </c>
      <c r="DK87" s="250">
        <f t="shared" si="51"/>
        <v>23.42</v>
      </c>
      <c r="DL87" s="182">
        <v>0</v>
      </c>
      <c r="DM87" s="174">
        <v>2.5</v>
      </c>
      <c r="DN87" s="250">
        <f t="shared" si="52"/>
        <v>25.92</v>
      </c>
      <c r="DO87" s="250">
        <f t="shared" si="53"/>
        <v>25.92</v>
      </c>
    </row>
    <row r="88" ht="14.25" customHeight="1" spans="1:119" s="324" customFormat="1" x14ac:dyDescent="0.25">
      <c r="A88" s="354" t="s">
        <v>382</v>
      </c>
      <c r="B88" s="355" t="s">
        <v>869</v>
      </c>
      <c r="C88" s="354" t="s">
        <v>1429</v>
      </c>
      <c r="D88" s="328" t="s">
        <v>1430</v>
      </c>
      <c r="E88" s="328" t="s">
        <v>630</v>
      </c>
      <c r="F88" s="329" t="s">
        <v>1347</v>
      </c>
      <c r="G88" s="330">
        <v>46086</v>
      </c>
      <c r="H88" s="329"/>
      <c r="I88" s="329"/>
      <c r="J88" s="329"/>
      <c r="K88" s="329"/>
      <c r="L88" s="329"/>
      <c r="M88" s="329"/>
      <c r="N88" s="329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  <c r="BC88" s="331"/>
      <c r="BD88" s="331"/>
      <c r="BE88" s="331"/>
      <c r="BF88" s="331"/>
      <c r="BG88" s="331"/>
      <c r="BH88" s="331"/>
      <c r="BI88" s="331"/>
      <c r="BJ88" s="331"/>
      <c r="BK88" s="331"/>
      <c r="BL88" s="331"/>
      <c r="BM88" s="331"/>
      <c r="BN88" s="331"/>
      <c r="BO88" s="331"/>
      <c r="BP88" s="331"/>
      <c r="BQ88" s="331"/>
      <c r="BR88" s="331"/>
      <c r="BS88" s="331"/>
      <c r="BT88" s="331"/>
      <c r="BU88" s="331"/>
      <c r="BV88" s="331"/>
      <c r="BW88" s="331"/>
      <c r="BX88" s="331"/>
      <c r="BY88" s="331"/>
      <c r="BZ88" s="332"/>
      <c r="CA88" s="331"/>
      <c r="CB88" s="331"/>
      <c r="CC88" s="332"/>
      <c r="CD88" s="332">
        <v>2.08</v>
      </c>
      <c r="CE88" s="333"/>
      <c r="CF88" s="326"/>
      <c r="CG88" s="326">
        <v>2.5</v>
      </c>
      <c r="CH88" s="333">
        <f t="shared" si="36"/>
        <v>4.58</v>
      </c>
      <c r="CI88" s="333">
        <f t="shared" si="37"/>
        <v>4.58</v>
      </c>
      <c r="CJ88" s="326"/>
      <c r="CK88" s="326">
        <v>2.5</v>
      </c>
      <c r="CL88" s="333">
        <f>CI88+CK88</f>
        <v>7.08</v>
      </c>
      <c r="CM88" s="333">
        <f t="shared" si="39"/>
        <v>7.08</v>
      </c>
      <c r="CN88" s="334">
        <v>0</v>
      </c>
      <c r="CO88" s="326">
        <v>2.5</v>
      </c>
      <c r="CP88" s="333">
        <f t="shared" si="40"/>
        <v>9.58</v>
      </c>
      <c r="CQ88" s="198">
        <f t="shared" si="41"/>
        <v>9.58</v>
      </c>
      <c r="CR88" s="199">
        <v>0</v>
      </c>
      <c r="CS88" s="326">
        <v>2.5</v>
      </c>
      <c r="CT88" s="196">
        <f t="shared" si="42"/>
        <v>12.08</v>
      </c>
      <c r="CU88" s="336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33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33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33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33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33">
        <f t="shared" si="53"/>
        <v>24.58</v>
      </c>
    </row>
    <row r="89" ht="14.25" customHeight="1" spans="1:119" s="356" customFormat="1" x14ac:dyDescent="0.25">
      <c r="A89" s="357" t="s">
        <v>401</v>
      </c>
      <c r="B89" s="358"/>
      <c r="C89" s="357" t="s">
        <v>1071</v>
      </c>
      <c r="D89" s="359" t="s">
        <v>1072</v>
      </c>
      <c r="E89" s="359" t="s">
        <v>630</v>
      </c>
      <c r="F89" s="360" t="s">
        <v>1326</v>
      </c>
      <c r="G89" s="361">
        <v>46128</v>
      </c>
      <c r="H89" s="360"/>
      <c r="I89" s="361">
        <v>46492</v>
      </c>
      <c r="J89" s="360"/>
      <c r="K89" s="360"/>
      <c r="L89" s="360"/>
      <c r="M89" s="360"/>
      <c r="N89" s="360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  <c r="AC89" s="362"/>
      <c r="AD89" s="362"/>
      <c r="AE89" s="362"/>
      <c r="AF89" s="362"/>
      <c r="AG89" s="362"/>
      <c r="AH89" s="362"/>
      <c r="AI89" s="362"/>
      <c r="AJ89" s="362"/>
      <c r="AK89" s="362"/>
      <c r="AL89" s="362"/>
      <c r="AM89" s="362"/>
      <c r="AN89" s="362"/>
      <c r="AO89" s="362"/>
      <c r="AP89" s="362"/>
      <c r="AQ89" s="362"/>
      <c r="AR89" s="362"/>
      <c r="AS89" s="362"/>
      <c r="AT89" s="362"/>
      <c r="AU89" s="362"/>
      <c r="AV89" s="362"/>
      <c r="AW89" s="362"/>
      <c r="AX89" s="362"/>
      <c r="AY89" s="362"/>
      <c r="AZ89" s="362"/>
      <c r="BA89" s="362"/>
      <c r="BB89" s="362"/>
      <c r="BC89" s="362"/>
      <c r="BD89" s="362"/>
      <c r="BE89" s="362"/>
      <c r="BF89" s="362"/>
      <c r="BG89" s="362"/>
      <c r="BH89" s="362"/>
      <c r="BI89" s="362"/>
      <c r="BJ89" s="362"/>
      <c r="BK89" s="362"/>
      <c r="BL89" s="362"/>
      <c r="BM89" s="362"/>
      <c r="BN89" s="362"/>
      <c r="BO89" s="362"/>
      <c r="BP89" s="362"/>
      <c r="BQ89" s="362"/>
      <c r="BR89" s="362"/>
      <c r="BS89" s="362"/>
      <c r="BT89" s="362"/>
      <c r="BU89" s="362"/>
      <c r="BV89" s="362"/>
      <c r="BW89" s="362"/>
      <c r="BX89" s="362"/>
      <c r="BY89" s="362"/>
      <c r="BZ89" s="363"/>
      <c r="CA89" s="362"/>
      <c r="CB89" s="362"/>
      <c r="CC89" s="363"/>
      <c r="CD89" s="363"/>
      <c r="CE89" s="364"/>
      <c r="CF89" s="365"/>
      <c r="CG89" s="365">
        <f>2.5/2</f>
        <v>1.25</v>
      </c>
      <c r="CH89" s="364">
        <f t="shared" si="36"/>
        <v>1.25</v>
      </c>
      <c r="CI89" s="196">
        <f t="shared" si="37"/>
        <v>1.25</v>
      </c>
      <c r="CJ89" s="365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24" customFormat="1" x14ac:dyDescent="0.25">
      <c r="A90" s="354" t="s">
        <v>395</v>
      </c>
      <c r="B90" s="355"/>
      <c r="C90" s="354" t="s">
        <v>1431</v>
      </c>
      <c r="D90" s="328" t="s">
        <v>1074</v>
      </c>
      <c r="E90" s="328" t="s">
        <v>630</v>
      </c>
      <c r="F90" s="329" t="s">
        <v>1326</v>
      </c>
      <c r="G90" s="330">
        <v>46130</v>
      </c>
      <c r="H90" s="329"/>
      <c r="I90" s="329">
        <v>46494</v>
      </c>
      <c r="J90" s="329"/>
      <c r="K90" s="329"/>
      <c r="L90" s="329"/>
      <c r="M90" s="329"/>
      <c r="N90" s="329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  <c r="BC90" s="331"/>
      <c r="BD90" s="331"/>
      <c r="BE90" s="331"/>
      <c r="BF90" s="331"/>
      <c r="BG90" s="331"/>
      <c r="BH90" s="331"/>
      <c r="BI90" s="331"/>
      <c r="BJ90" s="331"/>
      <c r="BK90" s="331"/>
      <c r="BL90" s="331"/>
      <c r="BM90" s="331"/>
      <c r="BN90" s="331"/>
      <c r="BO90" s="331"/>
      <c r="BP90" s="331"/>
      <c r="BQ90" s="331"/>
      <c r="BR90" s="331"/>
      <c r="BS90" s="331"/>
      <c r="BT90" s="331"/>
      <c r="BU90" s="331"/>
      <c r="BV90" s="331"/>
      <c r="BW90" s="331"/>
      <c r="BX90" s="331"/>
      <c r="BY90" s="331"/>
      <c r="BZ90" s="332"/>
      <c r="CA90" s="331"/>
      <c r="CB90" s="331"/>
      <c r="CC90" s="332"/>
      <c r="CD90" s="332"/>
      <c r="CE90" s="333"/>
      <c r="CF90" s="326"/>
      <c r="CG90" s="326">
        <v>1.08</v>
      </c>
      <c r="CH90" s="333">
        <f t="shared" si="36"/>
        <v>1.08</v>
      </c>
      <c r="CI90" s="333">
        <f t="shared" si="37"/>
        <v>1.08</v>
      </c>
      <c r="CJ90" s="326">
        <v>2.5</v>
      </c>
      <c r="CK90" s="326">
        <v>2.5</v>
      </c>
      <c r="CL90" s="333">
        <f t="shared" si="129"/>
        <v>3.58</v>
      </c>
      <c r="CM90" s="333">
        <f t="shared" si="39"/>
        <v>1.08</v>
      </c>
      <c r="CN90" s="334">
        <v>0</v>
      </c>
      <c r="CO90" s="326">
        <v>2.5</v>
      </c>
      <c r="CP90" s="333">
        <f t="shared" si="40"/>
        <v>3.58</v>
      </c>
      <c r="CQ90" s="198">
        <f t="shared" si="41"/>
        <v>3.58</v>
      </c>
      <c r="CR90" s="199">
        <v>0</v>
      </c>
      <c r="CS90" s="326">
        <v>2.5</v>
      </c>
      <c r="CT90" s="196">
        <f t="shared" si="42"/>
        <v>6.08</v>
      </c>
      <c r="CU90" s="336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33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33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33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33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33">
        <f t="shared" si="53"/>
        <v>18.58</v>
      </c>
    </row>
    <row r="91" ht="14.25" customHeight="1" spans="1:119" s="356" customFormat="1" x14ac:dyDescent="0.25">
      <c r="A91" s="357" t="s">
        <v>629</v>
      </c>
      <c r="B91" s="358"/>
      <c r="C91" s="357" t="s">
        <v>1075</v>
      </c>
      <c r="D91" s="359" t="s">
        <v>1076</v>
      </c>
      <c r="E91" s="359" t="s">
        <v>630</v>
      </c>
      <c r="F91" s="360" t="s">
        <v>1326</v>
      </c>
      <c r="G91" s="361">
        <v>46132</v>
      </c>
      <c r="H91" s="360"/>
      <c r="I91" s="361">
        <v>46314</v>
      </c>
      <c r="J91" s="360"/>
      <c r="K91" s="360"/>
      <c r="L91" s="360"/>
      <c r="M91" s="360"/>
      <c r="N91" s="360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2"/>
      <c r="AG91" s="362"/>
      <c r="AH91" s="362"/>
      <c r="AI91" s="362"/>
      <c r="AJ91" s="362"/>
      <c r="AK91" s="362"/>
      <c r="AL91" s="362"/>
      <c r="AM91" s="362"/>
      <c r="AN91" s="362"/>
      <c r="AO91" s="362"/>
      <c r="AP91" s="362"/>
      <c r="AQ91" s="362"/>
      <c r="AR91" s="362"/>
      <c r="AS91" s="362"/>
      <c r="AT91" s="362"/>
      <c r="AU91" s="362"/>
      <c r="AV91" s="362"/>
      <c r="AW91" s="362"/>
      <c r="AX91" s="362"/>
      <c r="AY91" s="362"/>
      <c r="AZ91" s="362"/>
      <c r="BA91" s="362"/>
      <c r="BB91" s="362"/>
      <c r="BC91" s="362"/>
      <c r="BD91" s="362"/>
      <c r="BE91" s="362"/>
      <c r="BF91" s="362"/>
      <c r="BG91" s="362"/>
      <c r="BH91" s="362"/>
      <c r="BI91" s="362"/>
      <c r="BJ91" s="362"/>
      <c r="BK91" s="362"/>
      <c r="BL91" s="362"/>
      <c r="BM91" s="362"/>
      <c r="BN91" s="362"/>
      <c r="BO91" s="362"/>
      <c r="BP91" s="362"/>
      <c r="BQ91" s="362"/>
      <c r="BR91" s="362"/>
      <c r="BS91" s="362"/>
      <c r="BT91" s="362"/>
      <c r="BU91" s="362"/>
      <c r="BV91" s="362"/>
      <c r="BW91" s="362"/>
      <c r="BX91" s="362"/>
      <c r="BY91" s="362"/>
      <c r="BZ91" s="363"/>
      <c r="CA91" s="362"/>
      <c r="CB91" s="362"/>
      <c r="CC91" s="363"/>
      <c r="CD91" s="363"/>
      <c r="CE91" s="364"/>
      <c r="CF91" s="365"/>
      <c r="CG91" s="366">
        <v>0.92</v>
      </c>
      <c r="CH91" s="364">
        <f t="shared" si="36"/>
        <v>0.92</v>
      </c>
      <c r="CI91" s="196">
        <f t="shared" si="37"/>
        <v>0.92</v>
      </c>
      <c r="CJ91" s="365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56" customFormat="1" x14ac:dyDescent="0.25">
      <c r="A92" s="357" t="s">
        <v>377</v>
      </c>
      <c r="B92" s="358"/>
      <c r="C92" s="357" t="s">
        <v>1077</v>
      </c>
      <c r="D92" s="359" t="s">
        <v>1078</v>
      </c>
      <c r="E92" s="359" t="s">
        <v>1079</v>
      </c>
      <c r="F92" s="360" t="s">
        <v>1300</v>
      </c>
      <c r="G92" s="361">
        <v>46132</v>
      </c>
      <c r="H92" s="360"/>
      <c r="I92" s="361"/>
      <c r="J92" s="360"/>
      <c r="K92" s="360"/>
      <c r="L92" s="360"/>
      <c r="M92" s="360"/>
      <c r="N92" s="360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2"/>
      <c r="AG92" s="362"/>
      <c r="AH92" s="362"/>
      <c r="AI92" s="362"/>
      <c r="AJ92" s="362"/>
      <c r="AK92" s="362"/>
      <c r="AL92" s="362"/>
      <c r="AM92" s="362"/>
      <c r="AN92" s="362"/>
      <c r="AO92" s="362"/>
      <c r="AP92" s="362"/>
      <c r="AQ92" s="362"/>
      <c r="AR92" s="362"/>
      <c r="AS92" s="362"/>
      <c r="AT92" s="362"/>
      <c r="AU92" s="362"/>
      <c r="AV92" s="362"/>
      <c r="AW92" s="362"/>
      <c r="AX92" s="362"/>
      <c r="AY92" s="362"/>
      <c r="AZ92" s="362"/>
      <c r="BA92" s="362"/>
      <c r="BB92" s="362"/>
      <c r="BC92" s="362"/>
      <c r="BD92" s="362"/>
      <c r="BE92" s="362"/>
      <c r="BF92" s="362"/>
      <c r="BG92" s="362"/>
      <c r="BH92" s="362"/>
      <c r="BI92" s="362"/>
      <c r="BJ92" s="362"/>
      <c r="BK92" s="362"/>
      <c r="BL92" s="362"/>
      <c r="BM92" s="362"/>
      <c r="BN92" s="362"/>
      <c r="BO92" s="362"/>
      <c r="BP92" s="362"/>
      <c r="BQ92" s="362"/>
      <c r="BR92" s="362"/>
      <c r="BS92" s="362"/>
      <c r="BT92" s="362"/>
      <c r="BU92" s="362"/>
      <c r="BV92" s="362"/>
      <c r="BW92" s="362"/>
      <c r="BX92" s="362"/>
      <c r="BY92" s="362"/>
      <c r="BZ92" s="363"/>
      <c r="CA92" s="362"/>
      <c r="CB92" s="362"/>
      <c r="CC92" s="363"/>
      <c r="CD92" s="363"/>
      <c r="CE92" s="364"/>
      <c r="CF92" s="365"/>
      <c r="CG92" s="366">
        <v>0.92</v>
      </c>
      <c r="CH92" s="364">
        <f t="shared" si="36"/>
        <v>0.92</v>
      </c>
      <c r="CI92" s="196">
        <f t="shared" si="37"/>
        <v>0.92</v>
      </c>
      <c r="CJ92" s="365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56" customFormat="1" x14ac:dyDescent="0.25">
      <c r="A93" s="357" t="s">
        <v>1087</v>
      </c>
      <c r="B93" s="358"/>
      <c r="C93" s="357" t="s">
        <v>1088</v>
      </c>
      <c r="D93" s="359" t="s">
        <v>1089</v>
      </c>
      <c r="E93" s="359" t="s">
        <v>1090</v>
      </c>
      <c r="F93" s="360" t="s">
        <v>1300</v>
      </c>
      <c r="G93" s="361">
        <v>46135</v>
      </c>
      <c r="H93" s="360"/>
      <c r="I93" s="361"/>
      <c r="J93" s="360"/>
      <c r="K93" s="360"/>
      <c r="L93" s="360"/>
      <c r="M93" s="360"/>
      <c r="N93" s="360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  <c r="AC93" s="362"/>
      <c r="AD93" s="362"/>
      <c r="AE93" s="362"/>
      <c r="AF93" s="362"/>
      <c r="AG93" s="362"/>
      <c r="AH93" s="362"/>
      <c r="AI93" s="362"/>
      <c r="AJ93" s="362"/>
      <c r="AK93" s="362"/>
      <c r="AL93" s="362"/>
      <c r="AM93" s="362"/>
      <c r="AN93" s="362"/>
      <c r="AO93" s="362"/>
      <c r="AP93" s="362"/>
      <c r="AQ93" s="362"/>
      <c r="AR93" s="362"/>
      <c r="AS93" s="362"/>
      <c r="AT93" s="362"/>
      <c r="AU93" s="362"/>
      <c r="AV93" s="362"/>
      <c r="AW93" s="362"/>
      <c r="AX93" s="362"/>
      <c r="AY93" s="362"/>
      <c r="AZ93" s="362"/>
      <c r="BA93" s="362"/>
      <c r="BB93" s="362"/>
      <c r="BC93" s="362"/>
      <c r="BD93" s="362"/>
      <c r="BE93" s="362"/>
      <c r="BF93" s="362"/>
      <c r="BG93" s="362"/>
      <c r="BH93" s="362"/>
      <c r="BI93" s="362"/>
      <c r="BJ93" s="362"/>
      <c r="BK93" s="362"/>
      <c r="BL93" s="362"/>
      <c r="BM93" s="362"/>
      <c r="BN93" s="362"/>
      <c r="BO93" s="362"/>
      <c r="BP93" s="362"/>
      <c r="BQ93" s="362"/>
      <c r="BR93" s="362"/>
      <c r="BS93" s="362"/>
      <c r="BT93" s="362"/>
      <c r="BU93" s="362"/>
      <c r="BV93" s="362"/>
      <c r="BW93" s="362"/>
      <c r="BX93" s="362"/>
      <c r="BY93" s="362"/>
      <c r="BZ93" s="363"/>
      <c r="CA93" s="362"/>
      <c r="CB93" s="362"/>
      <c r="CC93" s="363"/>
      <c r="CD93" s="363"/>
      <c r="CE93" s="364"/>
      <c r="CF93" s="365"/>
      <c r="CG93" s="366">
        <f>(8*2.5)/30</f>
        <v>0.6666666666666666</v>
      </c>
      <c r="CH93" s="364">
        <f t="shared" si="36"/>
        <v>0.6666666666666666</v>
      </c>
      <c r="CI93" s="196">
        <f t="shared" si="37"/>
        <v>0.6666666666666666</v>
      </c>
      <c r="CJ93" s="365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56" customFormat="1" x14ac:dyDescent="0.25">
      <c r="A94" s="357" t="s">
        <v>1091</v>
      </c>
      <c r="B94" s="358"/>
      <c r="C94" s="357" t="s">
        <v>1092</v>
      </c>
      <c r="D94" s="359" t="s">
        <v>1093</v>
      </c>
      <c r="E94" s="359" t="s">
        <v>1094</v>
      </c>
      <c r="F94" s="360" t="s">
        <v>1326</v>
      </c>
      <c r="G94" s="361">
        <v>46127</v>
      </c>
      <c r="H94" s="360"/>
      <c r="I94" s="361">
        <v>46491</v>
      </c>
      <c r="J94" s="360"/>
      <c r="K94" s="360"/>
      <c r="L94" s="360"/>
      <c r="M94" s="360"/>
      <c r="N94" s="360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  <c r="AC94" s="362"/>
      <c r="AD94" s="362"/>
      <c r="AE94" s="362"/>
      <c r="AF94" s="362"/>
      <c r="AG94" s="362"/>
      <c r="AH94" s="362"/>
      <c r="AI94" s="362"/>
      <c r="AJ94" s="362"/>
      <c r="AK94" s="362"/>
      <c r="AL94" s="362"/>
      <c r="AM94" s="362"/>
      <c r="AN94" s="362"/>
      <c r="AO94" s="362"/>
      <c r="AP94" s="362"/>
      <c r="AQ94" s="362"/>
      <c r="AR94" s="362"/>
      <c r="AS94" s="362"/>
      <c r="AT94" s="362"/>
      <c r="AU94" s="362"/>
      <c r="AV94" s="362"/>
      <c r="AW94" s="362"/>
      <c r="AX94" s="362"/>
      <c r="AY94" s="362"/>
      <c r="AZ94" s="362"/>
      <c r="BA94" s="362"/>
      <c r="BB94" s="362"/>
      <c r="BC94" s="362"/>
      <c r="BD94" s="362"/>
      <c r="BE94" s="362"/>
      <c r="BF94" s="362"/>
      <c r="BG94" s="362"/>
      <c r="BH94" s="362"/>
      <c r="BI94" s="362"/>
      <c r="BJ94" s="362"/>
      <c r="BK94" s="362"/>
      <c r="BL94" s="362"/>
      <c r="BM94" s="362"/>
      <c r="BN94" s="362"/>
      <c r="BO94" s="362"/>
      <c r="BP94" s="362"/>
      <c r="BQ94" s="362"/>
      <c r="BR94" s="362"/>
      <c r="BS94" s="362"/>
      <c r="BT94" s="362"/>
      <c r="BU94" s="362"/>
      <c r="BV94" s="362"/>
      <c r="BW94" s="362"/>
      <c r="BX94" s="362"/>
      <c r="BY94" s="362"/>
      <c r="BZ94" s="363"/>
      <c r="CA94" s="362"/>
      <c r="CB94" s="362"/>
      <c r="CC94" s="363"/>
      <c r="CD94" s="363"/>
      <c r="CE94" s="364"/>
      <c r="CF94" s="365"/>
      <c r="CG94" s="366">
        <f>2.5/2</f>
        <v>1.25</v>
      </c>
      <c r="CH94" s="364">
        <f t="shared" si="36"/>
        <v>1.25</v>
      </c>
      <c r="CI94" s="196">
        <f t="shared" si="37"/>
        <v>1.25</v>
      </c>
      <c r="CJ94" s="365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67" t="s">
        <v>498</v>
      </c>
      <c r="B95" s="39" t="s">
        <v>869</v>
      </c>
      <c r="C95" s="368" t="s">
        <v>1432</v>
      </c>
      <c r="D95" s="234" t="s">
        <v>1097</v>
      </c>
      <c r="E95" s="234" t="s">
        <v>499</v>
      </c>
      <c r="F95" s="235" t="s">
        <v>1326</v>
      </c>
      <c r="G95" s="188">
        <v>46146</v>
      </c>
      <c r="H95" s="235"/>
      <c r="I95" s="188">
        <v>46510</v>
      </c>
      <c r="J95" s="235"/>
      <c r="K95" s="235"/>
      <c r="L95" s="235"/>
      <c r="M95" s="235"/>
      <c r="N95" s="235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9"/>
      <c r="CH95" s="196">
        <f t="shared" si="36"/>
        <v>0</v>
      </c>
      <c r="CI95" s="196">
        <f t="shared" si="37"/>
        <v>0</v>
      </c>
      <c r="CJ95" s="39"/>
      <c r="CK95" s="369">
        <v>2.5</v>
      </c>
      <c r="CL95" s="369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67" t="s">
        <v>1098</v>
      </c>
      <c r="B96" s="39" t="s">
        <v>869</v>
      </c>
      <c r="C96" s="368" t="s">
        <v>1099</v>
      </c>
      <c r="D96" s="234" t="s">
        <v>1100</v>
      </c>
      <c r="E96" s="234" t="s">
        <v>630</v>
      </c>
      <c r="F96" s="235" t="s">
        <v>1326</v>
      </c>
      <c r="G96" s="188">
        <v>46146</v>
      </c>
      <c r="H96" s="235"/>
      <c r="I96" s="188">
        <v>46510</v>
      </c>
      <c r="J96" s="235"/>
      <c r="K96" s="235"/>
      <c r="L96" s="235"/>
      <c r="M96" s="235"/>
      <c r="N96" s="235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9"/>
      <c r="CH96" s="196">
        <f t="shared" si="36"/>
        <v>0</v>
      </c>
      <c r="CI96" s="196">
        <f t="shared" si="37"/>
        <v>0</v>
      </c>
      <c r="CJ96" s="39"/>
      <c r="CK96" s="369">
        <v>2.5</v>
      </c>
      <c r="CL96" s="369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24" customFormat="1" x14ac:dyDescent="0.25">
      <c r="A97" s="354" t="s">
        <v>386</v>
      </c>
      <c r="B97" s="355" t="s">
        <v>869</v>
      </c>
      <c r="C97" s="354" t="s">
        <v>1101</v>
      </c>
      <c r="D97" s="328" t="s">
        <v>1102</v>
      </c>
      <c r="E97" s="328" t="s">
        <v>630</v>
      </c>
      <c r="F97" s="329" t="s">
        <v>1326</v>
      </c>
      <c r="G97" s="330">
        <v>46146</v>
      </c>
      <c r="H97" s="329"/>
      <c r="I97" s="329">
        <v>46510</v>
      </c>
      <c r="J97" s="329"/>
      <c r="K97" s="329"/>
      <c r="L97" s="329"/>
      <c r="M97" s="329"/>
      <c r="N97" s="329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  <c r="BC97" s="331"/>
      <c r="BD97" s="331"/>
      <c r="BE97" s="331"/>
      <c r="BF97" s="331"/>
      <c r="BG97" s="331"/>
      <c r="BH97" s="331"/>
      <c r="BI97" s="331"/>
      <c r="BJ97" s="331"/>
      <c r="BK97" s="331"/>
      <c r="BL97" s="331"/>
      <c r="BM97" s="331"/>
      <c r="BN97" s="331"/>
      <c r="BO97" s="331"/>
      <c r="BP97" s="331"/>
      <c r="BQ97" s="331"/>
      <c r="BR97" s="331"/>
      <c r="BS97" s="331"/>
      <c r="BT97" s="331"/>
      <c r="BU97" s="331"/>
      <c r="BV97" s="331"/>
      <c r="BW97" s="331"/>
      <c r="BX97" s="331"/>
      <c r="BY97" s="331"/>
      <c r="BZ97" s="332"/>
      <c r="CA97" s="331"/>
      <c r="CB97" s="331"/>
      <c r="CC97" s="332"/>
      <c r="CD97" s="332"/>
      <c r="CE97" s="333"/>
      <c r="CF97" s="326"/>
      <c r="CG97" s="326"/>
      <c r="CH97" s="333">
        <f t="shared" si="36"/>
        <v>0</v>
      </c>
      <c r="CI97" s="333">
        <f t="shared" si="37"/>
        <v>0</v>
      </c>
      <c r="CJ97" s="326"/>
      <c r="CK97" s="326">
        <v>2.5</v>
      </c>
      <c r="CL97" s="333">
        <f t="shared" si="38"/>
        <v>2.5</v>
      </c>
      <c r="CM97" s="333">
        <f t="shared" si="39"/>
        <v>2.5</v>
      </c>
      <c r="CN97" s="334">
        <v>0</v>
      </c>
      <c r="CO97" s="326">
        <v>2.5</v>
      </c>
      <c r="CP97" s="333">
        <f t="shared" si="40"/>
        <v>5</v>
      </c>
      <c r="CQ97" s="198">
        <f t="shared" si="41"/>
        <v>5</v>
      </c>
      <c r="CR97" s="199">
        <v>0</v>
      </c>
      <c r="CS97" s="326">
        <v>2.5</v>
      </c>
      <c r="CT97" s="196">
        <f t="shared" si="42"/>
        <v>7.5</v>
      </c>
      <c r="CU97" s="336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33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33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33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33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33">
        <f t="shared" si="53"/>
        <v>20</v>
      </c>
    </row>
    <row r="98" ht="14.25" customHeight="1" spans="1:119" s="341" customFormat="1" x14ac:dyDescent="0.25">
      <c r="A98" s="370" t="s">
        <v>392</v>
      </c>
      <c r="B98" s="371" t="s">
        <v>869</v>
      </c>
      <c r="C98" s="370" t="s">
        <v>1120</v>
      </c>
      <c r="D98" s="345" t="s">
        <v>1104</v>
      </c>
      <c r="E98" s="345" t="s">
        <v>630</v>
      </c>
      <c r="F98" s="346" t="s">
        <v>1326</v>
      </c>
      <c r="G98" s="347">
        <v>46146</v>
      </c>
      <c r="H98" s="346"/>
      <c r="I98" s="346">
        <v>46510</v>
      </c>
      <c r="J98" s="346"/>
      <c r="K98" s="346"/>
      <c r="L98" s="346"/>
      <c r="M98" s="346"/>
      <c r="N98" s="346"/>
      <c r="O98" s="344"/>
      <c r="P98" s="344"/>
      <c r="Q98" s="344"/>
      <c r="R98" s="344"/>
      <c r="S98" s="344"/>
      <c r="T98" s="344"/>
      <c r="U98" s="344"/>
      <c r="V98" s="344"/>
      <c r="W98" s="344"/>
      <c r="X98" s="344"/>
      <c r="Y98" s="344"/>
      <c r="Z98" s="344"/>
      <c r="AA98" s="344"/>
      <c r="AB98" s="344"/>
      <c r="AC98" s="344"/>
      <c r="AD98" s="344"/>
      <c r="AE98" s="344"/>
      <c r="AF98" s="344"/>
      <c r="AG98" s="344"/>
      <c r="AH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  <c r="AS98" s="344"/>
      <c r="AT98" s="344"/>
      <c r="AU98" s="344"/>
      <c r="AV98" s="344"/>
      <c r="AW98" s="344"/>
      <c r="AX98" s="344"/>
      <c r="AY98" s="344"/>
      <c r="AZ98" s="344"/>
      <c r="BA98" s="344"/>
      <c r="BB98" s="344"/>
      <c r="BC98" s="344"/>
      <c r="BD98" s="344"/>
      <c r="BE98" s="344"/>
      <c r="BF98" s="344"/>
      <c r="BG98" s="344"/>
      <c r="BH98" s="344"/>
      <c r="BI98" s="344"/>
      <c r="BJ98" s="344"/>
      <c r="BK98" s="344"/>
      <c r="BL98" s="344"/>
      <c r="BM98" s="344"/>
      <c r="BN98" s="344"/>
      <c r="BO98" s="344"/>
      <c r="BP98" s="344"/>
      <c r="BQ98" s="344"/>
      <c r="BR98" s="344"/>
      <c r="BS98" s="344"/>
      <c r="BT98" s="344"/>
      <c r="BU98" s="344"/>
      <c r="BV98" s="344"/>
      <c r="BW98" s="344"/>
      <c r="BX98" s="344"/>
      <c r="BY98" s="344"/>
      <c r="BZ98" s="348"/>
      <c r="CA98" s="344"/>
      <c r="CB98" s="344"/>
      <c r="CC98" s="348"/>
      <c r="CD98" s="348"/>
      <c r="CE98" s="349"/>
      <c r="CF98" s="343"/>
      <c r="CG98" s="343"/>
      <c r="CH98" s="349">
        <f t="shared" si="36"/>
        <v>0</v>
      </c>
      <c r="CI98" s="349">
        <f t="shared" si="37"/>
        <v>0</v>
      </c>
      <c r="CJ98" s="343"/>
      <c r="CK98" s="343">
        <v>2.5</v>
      </c>
      <c r="CL98" s="349">
        <f t="shared" si="38"/>
        <v>2.5</v>
      </c>
      <c r="CM98" s="349">
        <f t="shared" si="39"/>
        <v>2.5</v>
      </c>
      <c r="CN98" s="350">
        <v>0</v>
      </c>
      <c r="CO98" s="343">
        <v>2.5</v>
      </c>
      <c r="CP98" s="349">
        <f t="shared" si="40"/>
        <v>5</v>
      </c>
      <c r="CQ98" s="349">
        <f t="shared" si="41"/>
        <v>5</v>
      </c>
      <c r="CR98" s="351">
        <v>0</v>
      </c>
      <c r="CS98" s="343">
        <v>2.5</v>
      </c>
      <c r="CT98" s="349">
        <f t="shared" si="42"/>
        <v>7.5</v>
      </c>
      <c r="CU98" s="352">
        <f t="shared" si="43"/>
        <v>7.5</v>
      </c>
      <c r="CV98" s="351">
        <v>0</v>
      </c>
      <c r="CW98" s="343">
        <v>2.5</v>
      </c>
      <c r="CX98" s="349">
        <f t="shared" si="44"/>
        <v>10</v>
      </c>
      <c r="CY98" s="349">
        <f t="shared" si="45"/>
        <v>10</v>
      </c>
      <c r="CZ98" s="351">
        <v>0</v>
      </c>
      <c r="DA98" s="343">
        <v>2.5</v>
      </c>
      <c r="DB98" s="349">
        <f t="shared" si="46"/>
        <v>12.5</v>
      </c>
      <c r="DC98" s="349">
        <f t="shared" si="47"/>
        <v>12.5</v>
      </c>
      <c r="DD98" s="351">
        <v>0</v>
      </c>
      <c r="DE98" s="343">
        <v>2.5</v>
      </c>
      <c r="DF98" s="349">
        <f t="shared" si="48"/>
        <v>15</v>
      </c>
      <c r="DG98" s="349">
        <f t="shared" si="49"/>
        <v>15</v>
      </c>
      <c r="DH98" s="351">
        <v>0</v>
      </c>
      <c r="DI98" s="343">
        <v>2.5</v>
      </c>
      <c r="DJ98" s="349">
        <f t="shared" si="50"/>
        <v>17.5</v>
      </c>
      <c r="DK98" s="349">
        <f t="shared" si="51"/>
        <v>17.5</v>
      </c>
      <c r="DL98" s="351">
        <v>0</v>
      </c>
      <c r="DM98" s="343">
        <v>2.5</v>
      </c>
      <c r="DN98" s="349">
        <f t="shared" si="52"/>
        <v>20</v>
      </c>
      <c r="DO98" s="349">
        <f t="shared" si="53"/>
        <v>20</v>
      </c>
    </row>
    <row r="99" ht="14.25" customHeight="1" spans="1:119" x14ac:dyDescent="0.25">
      <c r="A99" s="372" t="s">
        <v>422</v>
      </c>
      <c r="B99" s="373"/>
      <c r="C99" s="308" t="s">
        <v>1105</v>
      </c>
      <c r="D99" s="234" t="s">
        <v>1106</v>
      </c>
      <c r="E99" s="234" t="s">
        <v>466</v>
      </c>
      <c r="F99" s="235" t="s">
        <v>1300</v>
      </c>
      <c r="G99" s="188">
        <v>46146</v>
      </c>
      <c r="H99" s="235"/>
      <c r="I99" s="188"/>
      <c r="J99" s="235"/>
      <c r="K99" s="235"/>
      <c r="L99" s="235"/>
      <c r="M99" s="235"/>
      <c r="N99" s="235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9"/>
      <c r="CH99" s="196">
        <f t="shared" ref="CH99:CH152" si="130">CD99+CG99</f>
        <v>0</v>
      </c>
      <c r="CI99" s="333">
        <f t="shared" si="37"/>
        <v>0</v>
      </c>
      <c r="CJ99" s="39"/>
      <c r="CK99" s="369">
        <v>2.5</v>
      </c>
      <c r="CL99" s="333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72" t="s">
        <v>495</v>
      </c>
      <c r="B100" s="373"/>
      <c r="C100" s="308" t="s">
        <v>1107</v>
      </c>
      <c r="D100" s="234" t="s">
        <v>1108</v>
      </c>
      <c r="E100" s="234" t="s">
        <v>1109</v>
      </c>
      <c r="F100" s="235" t="s">
        <v>1300</v>
      </c>
      <c r="G100" s="188">
        <v>46146</v>
      </c>
      <c r="H100" s="235"/>
      <c r="I100" s="188"/>
      <c r="J100" s="235"/>
      <c r="K100" s="235"/>
      <c r="L100" s="235"/>
      <c r="M100" s="235"/>
      <c r="N100" s="235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9"/>
      <c r="CH100" s="196">
        <f t="shared" si="130"/>
        <v>0</v>
      </c>
      <c r="CI100" s="333">
        <f t="shared" ref="CI100:CI152" si="131">(CH100-CF100)</f>
        <v>0</v>
      </c>
      <c r="CJ100" s="39"/>
      <c r="CK100" s="369">
        <v>2.5</v>
      </c>
      <c r="CL100" s="333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9" customFormat="1" x14ac:dyDescent="0.25">
      <c r="A101" s="374" t="s">
        <v>89</v>
      </c>
      <c r="B101" s="375"/>
      <c r="C101" s="376" t="s">
        <v>1433</v>
      </c>
      <c r="D101" s="293" t="s">
        <v>1111</v>
      </c>
      <c r="E101" s="293" t="s">
        <v>66</v>
      </c>
      <c r="F101" s="294" t="s">
        <v>1391</v>
      </c>
      <c r="G101" s="295">
        <v>46132</v>
      </c>
      <c r="H101" s="294"/>
      <c r="I101" s="295">
        <v>46314</v>
      </c>
      <c r="J101" s="294"/>
      <c r="K101" s="294"/>
      <c r="L101" s="294"/>
      <c r="M101" s="294"/>
      <c r="N101" s="294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7"/>
      <c r="CA101" s="296"/>
      <c r="CB101" s="296"/>
      <c r="CC101" s="297"/>
      <c r="CD101" s="297"/>
      <c r="CE101" s="298"/>
      <c r="CF101" s="299"/>
      <c r="CG101" s="301">
        <f>+(11*2.5)/30</f>
        <v>0.9166666666666666</v>
      </c>
      <c r="CH101" s="298">
        <f t="shared" si="130"/>
        <v>0.9166666666666666</v>
      </c>
      <c r="CI101" s="298">
        <f t="shared" si="131"/>
        <v>0.9166666666666666</v>
      </c>
      <c r="CJ101" s="299"/>
      <c r="CK101" s="301">
        <v>2.5</v>
      </c>
      <c r="CL101" s="298">
        <f t="shared" si="132"/>
        <v>3.4166666666666665</v>
      </c>
      <c r="CM101" s="298">
        <f t="shared" si="133"/>
        <v>3.4166666666666665</v>
      </c>
      <c r="CN101" s="300">
        <v>7</v>
      </c>
      <c r="CO101" s="299">
        <v>2.5</v>
      </c>
      <c r="CP101" s="298">
        <f t="shared" si="40"/>
        <v>5.916666666666666</v>
      </c>
      <c r="CQ101" s="298">
        <f t="shared" si="41"/>
        <v>-1.083333333333334</v>
      </c>
      <c r="CR101" s="301">
        <v>4</v>
      </c>
      <c r="CS101" s="299">
        <v>2.5</v>
      </c>
      <c r="CT101" s="298">
        <f t="shared" si="42"/>
        <v>1.416666666666666</v>
      </c>
      <c r="CU101" s="302">
        <f t="shared" si="43"/>
        <v>-2.583333333333334</v>
      </c>
      <c r="CV101" s="301">
        <v>0</v>
      </c>
      <c r="CW101" s="299">
        <v>2.5</v>
      </c>
      <c r="CX101" s="298">
        <f t="shared" si="44"/>
        <v>-0.08333333333333393</v>
      </c>
      <c r="CY101" s="298">
        <f t="shared" si="45"/>
        <v>-0.08333333333333393</v>
      </c>
      <c r="CZ101" s="301">
        <v>0</v>
      </c>
      <c r="DA101" s="299">
        <v>2.5</v>
      </c>
      <c r="DB101" s="298">
        <f t="shared" si="46"/>
        <v>2.416666666666666</v>
      </c>
      <c r="DC101" s="298">
        <f t="shared" si="47"/>
        <v>2.416666666666666</v>
      </c>
      <c r="DD101" s="182">
        <v>0</v>
      </c>
      <c r="DE101" s="174">
        <v>2.5</v>
      </c>
      <c r="DF101" s="298">
        <f t="shared" si="48"/>
        <v>4.916666666666666</v>
      </c>
      <c r="DG101" s="298">
        <f t="shared" si="49"/>
        <v>4.916666666666666</v>
      </c>
      <c r="DH101" s="182">
        <v>0</v>
      </c>
      <c r="DI101" s="174">
        <v>2.5</v>
      </c>
      <c r="DJ101" s="298">
        <f t="shared" si="50"/>
        <v>7.416666666666666</v>
      </c>
      <c r="DK101" s="298">
        <f t="shared" si="51"/>
        <v>7.416666666666666</v>
      </c>
      <c r="DL101" s="182">
        <v>0</v>
      </c>
      <c r="DM101" s="174">
        <v>2.5</v>
      </c>
      <c r="DN101" s="298">
        <f t="shared" si="52"/>
        <v>9.916666666666666</v>
      </c>
      <c r="DO101" s="298">
        <f t="shared" si="53"/>
        <v>9.916666666666666</v>
      </c>
    </row>
    <row r="102" ht="14.25" customHeight="1" spans="1:119" s="377" customFormat="1" x14ac:dyDescent="0.25">
      <c r="A102" s="378" t="s">
        <v>101</v>
      </c>
      <c r="B102" s="379"/>
      <c r="C102" s="380" t="s">
        <v>1434</v>
      </c>
      <c r="D102" s="381" t="s">
        <v>1113</v>
      </c>
      <c r="E102" s="381" t="s">
        <v>100</v>
      </c>
      <c r="F102" s="382" t="s">
        <v>1391</v>
      </c>
      <c r="G102" s="383">
        <v>46132</v>
      </c>
      <c r="H102" s="382"/>
      <c r="I102" s="383">
        <v>46314</v>
      </c>
      <c r="J102" s="382"/>
      <c r="K102" s="382"/>
      <c r="L102" s="382"/>
      <c r="M102" s="382"/>
      <c r="N102" s="382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5"/>
      <c r="CA102" s="384"/>
      <c r="CB102" s="384"/>
      <c r="CC102" s="385"/>
      <c r="CD102" s="385"/>
      <c r="CE102" s="386"/>
      <c r="CF102" s="387"/>
      <c r="CG102" s="388">
        <f t="shared" ref="CG102:CG151" si="134">+(11*2.5)/30</f>
        <v>0.9166666666666666</v>
      </c>
      <c r="CH102" s="386">
        <f t="shared" si="130"/>
        <v>0.9166666666666666</v>
      </c>
      <c r="CI102" s="386">
        <f t="shared" si="131"/>
        <v>0.9166666666666666</v>
      </c>
      <c r="CJ102" s="387"/>
      <c r="CK102" s="388">
        <v>2.5</v>
      </c>
      <c r="CL102" s="386">
        <f t="shared" si="132"/>
        <v>3.4166666666666665</v>
      </c>
      <c r="CM102" s="386">
        <f t="shared" si="133"/>
        <v>3.4166666666666665</v>
      </c>
      <c r="CN102" s="389"/>
      <c r="CO102" s="387">
        <v>2.5</v>
      </c>
      <c r="CP102" s="386">
        <f t="shared" si="40"/>
        <v>5.916666666666666</v>
      </c>
      <c r="CQ102" s="198">
        <f t="shared" si="41"/>
        <v>5.916666666666666</v>
      </c>
      <c r="CR102" s="199">
        <v>0</v>
      </c>
      <c r="CS102" s="387">
        <v>2.5</v>
      </c>
      <c r="CT102" s="196">
        <f t="shared" si="42"/>
        <v>8.416666666666666</v>
      </c>
      <c r="CU102" s="390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86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86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86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86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86">
        <f t="shared" si="53"/>
        <v>19.916666666666664</v>
      </c>
    </row>
    <row r="103" ht="14.25" customHeight="1" spans="1:119" s="52" customFormat="1" x14ac:dyDescent="0.25">
      <c r="A103" s="391" t="s">
        <v>237</v>
      </c>
      <c r="B103" s="392"/>
      <c r="C103" s="340" t="s">
        <v>1435</v>
      </c>
      <c r="D103" s="238" t="s">
        <v>1115</v>
      </c>
      <c r="E103" s="238" t="s">
        <v>899</v>
      </c>
      <c r="F103" s="239" t="s">
        <v>1391</v>
      </c>
      <c r="G103" s="221">
        <v>46132</v>
      </c>
      <c r="H103" s="239"/>
      <c r="I103" s="221">
        <v>46314</v>
      </c>
      <c r="J103" s="239"/>
      <c r="K103" s="239"/>
      <c r="L103" s="239"/>
      <c r="M103" s="239"/>
      <c r="N103" s="239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  <c r="BF103" s="230"/>
      <c r="BG103" s="230"/>
      <c r="BH103" s="230"/>
      <c r="BI103" s="230"/>
      <c r="BJ103" s="230"/>
      <c r="BK103" s="230"/>
      <c r="BL103" s="230"/>
      <c r="BM103" s="230"/>
      <c r="BN103" s="230"/>
      <c r="BO103" s="230"/>
      <c r="BP103" s="230"/>
      <c r="BQ103" s="230"/>
      <c r="BR103" s="230"/>
      <c r="BS103" s="230"/>
      <c r="BT103" s="230"/>
      <c r="BU103" s="230"/>
      <c r="BV103" s="230"/>
      <c r="BW103" s="230"/>
      <c r="BX103" s="230"/>
      <c r="BY103" s="230"/>
      <c r="BZ103" s="231"/>
      <c r="CA103" s="230"/>
      <c r="CB103" s="230"/>
      <c r="CC103" s="231"/>
      <c r="CD103" s="231"/>
      <c r="CE103" s="228"/>
      <c r="CF103" s="59"/>
      <c r="CG103" s="232">
        <f t="shared" si="134"/>
        <v>0.9166666666666666</v>
      </c>
      <c r="CH103" s="228">
        <f t="shared" si="130"/>
        <v>0.9166666666666666</v>
      </c>
      <c r="CI103" s="228">
        <f t="shared" si="131"/>
        <v>0.9166666666666666</v>
      </c>
      <c r="CJ103" s="59"/>
      <c r="CK103" s="232">
        <v>2.5</v>
      </c>
      <c r="CL103" s="228">
        <f t="shared" si="132"/>
        <v>3.4166666666666665</v>
      </c>
      <c r="CM103" s="228">
        <f t="shared" si="133"/>
        <v>3.4166666666666665</v>
      </c>
      <c r="CN103" s="225">
        <v>6</v>
      </c>
      <c r="CO103" s="59">
        <v>2.5</v>
      </c>
      <c r="CP103" s="228">
        <f t="shared" si="40"/>
        <v>5.916666666666666</v>
      </c>
      <c r="CQ103" s="228">
        <f t="shared" si="41"/>
        <v>-0.08333333333333393</v>
      </c>
      <c r="CR103" s="232">
        <v>0</v>
      </c>
      <c r="CS103" s="59">
        <v>2.5</v>
      </c>
      <c r="CT103" s="228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28">
        <f t="shared" si="44"/>
        <v>4.916666666666666</v>
      </c>
      <c r="CY103" s="228">
        <f t="shared" si="45"/>
        <v>4.916666666666666</v>
      </c>
      <c r="CZ103" s="232">
        <v>0</v>
      </c>
      <c r="DA103" s="59">
        <v>2.5</v>
      </c>
      <c r="DB103" s="228">
        <f t="shared" si="46"/>
        <v>7.416666666666666</v>
      </c>
      <c r="DC103" s="228">
        <f t="shared" si="47"/>
        <v>7.416666666666666</v>
      </c>
      <c r="DD103" s="182">
        <v>1</v>
      </c>
      <c r="DE103" s="174">
        <v>2.5</v>
      </c>
      <c r="DF103" s="228">
        <f t="shared" si="48"/>
        <v>9.916666666666666</v>
      </c>
      <c r="DG103" s="228">
        <f t="shared" si="49"/>
        <v>8.916666666666666</v>
      </c>
      <c r="DH103" s="182">
        <v>0</v>
      </c>
      <c r="DI103" s="174">
        <v>2.5</v>
      </c>
      <c r="DJ103" s="228">
        <f t="shared" si="50"/>
        <v>11.416666666666666</v>
      </c>
      <c r="DK103" s="228">
        <f t="shared" si="51"/>
        <v>11.416666666666666</v>
      </c>
      <c r="DL103" s="182">
        <v>0</v>
      </c>
      <c r="DM103" s="174">
        <v>2.5</v>
      </c>
      <c r="DN103" s="228">
        <f t="shared" si="52"/>
        <v>13.916666666666666</v>
      </c>
      <c r="DO103" s="228">
        <f t="shared" si="53"/>
        <v>13.916666666666666</v>
      </c>
    </row>
    <row r="104" ht="14.25" customHeight="1" spans="1:119" s="377" customFormat="1" x14ac:dyDescent="0.25">
      <c r="A104" s="378" t="s">
        <v>242</v>
      </c>
      <c r="B104" s="379"/>
      <c r="C104" s="380" t="s">
        <v>1436</v>
      </c>
      <c r="D104" s="381" t="s">
        <v>1117</v>
      </c>
      <c r="E104" s="381" t="s">
        <v>899</v>
      </c>
      <c r="F104" s="382" t="s">
        <v>1391</v>
      </c>
      <c r="G104" s="383">
        <v>46132</v>
      </c>
      <c r="H104" s="382"/>
      <c r="I104" s="383">
        <v>46314</v>
      </c>
      <c r="J104" s="382"/>
      <c r="K104" s="382"/>
      <c r="L104" s="382"/>
      <c r="M104" s="382"/>
      <c r="N104" s="382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5"/>
      <c r="CA104" s="384"/>
      <c r="CB104" s="384"/>
      <c r="CC104" s="385"/>
      <c r="CD104" s="385"/>
      <c r="CE104" s="386"/>
      <c r="CF104" s="387"/>
      <c r="CG104" s="388">
        <f t="shared" si="134"/>
        <v>0.9166666666666666</v>
      </c>
      <c r="CH104" s="386">
        <f t="shared" si="130"/>
        <v>0.9166666666666666</v>
      </c>
      <c r="CI104" s="386">
        <f t="shared" si="131"/>
        <v>0.9166666666666666</v>
      </c>
      <c r="CJ104" s="387"/>
      <c r="CK104" s="388">
        <v>2.5</v>
      </c>
      <c r="CL104" s="386">
        <f t="shared" si="132"/>
        <v>3.4166666666666665</v>
      </c>
      <c r="CM104" s="386">
        <f t="shared" si="133"/>
        <v>3.4166666666666665</v>
      </c>
      <c r="CN104" s="389"/>
      <c r="CO104" s="387">
        <v>2.5</v>
      </c>
      <c r="CP104" s="386">
        <f t="shared" si="40"/>
        <v>5.916666666666666</v>
      </c>
      <c r="CQ104" s="198">
        <f t="shared" si="41"/>
        <v>5.916666666666666</v>
      </c>
      <c r="CR104" s="199">
        <v>0</v>
      </c>
      <c r="CS104" s="387">
        <v>2.5</v>
      </c>
      <c r="CT104" s="196">
        <f t="shared" si="42"/>
        <v>8.416666666666666</v>
      </c>
      <c r="CU104" s="390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86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86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86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86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86">
        <f t="shared" si="53"/>
        <v>20.916666666666664</v>
      </c>
    </row>
    <row r="105" ht="14.25" customHeight="1" spans="1:119" s="377" customFormat="1" x14ac:dyDescent="0.25">
      <c r="A105" s="378" t="s">
        <v>245</v>
      </c>
      <c r="B105" s="379"/>
      <c r="C105" s="380" t="s">
        <v>1437</v>
      </c>
      <c r="D105" s="381" t="s">
        <v>1119</v>
      </c>
      <c r="E105" s="381" t="s">
        <v>899</v>
      </c>
      <c r="F105" s="382" t="s">
        <v>1391</v>
      </c>
      <c r="G105" s="383">
        <v>46132</v>
      </c>
      <c r="H105" s="382"/>
      <c r="I105" s="383">
        <v>46314</v>
      </c>
      <c r="J105" s="382"/>
      <c r="K105" s="382"/>
      <c r="L105" s="382"/>
      <c r="M105" s="382"/>
      <c r="N105" s="382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5"/>
      <c r="CA105" s="384"/>
      <c r="CB105" s="384"/>
      <c r="CC105" s="385"/>
      <c r="CD105" s="385"/>
      <c r="CE105" s="386"/>
      <c r="CF105" s="387"/>
      <c r="CG105" s="388">
        <f t="shared" si="134"/>
        <v>0.9166666666666666</v>
      </c>
      <c r="CH105" s="386">
        <f t="shared" si="130"/>
        <v>0.9166666666666666</v>
      </c>
      <c r="CI105" s="386">
        <f t="shared" si="131"/>
        <v>0.9166666666666666</v>
      </c>
      <c r="CJ105" s="387"/>
      <c r="CK105" s="388">
        <v>2.5</v>
      </c>
      <c r="CL105" s="386">
        <f t="shared" si="132"/>
        <v>3.4166666666666665</v>
      </c>
      <c r="CM105" s="386">
        <f t="shared" si="133"/>
        <v>3.4166666666666665</v>
      </c>
      <c r="CN105" s="389"/>
      <c r="CO105" s="387">
        <v>2.5</v>
      </c>
      <c r="CP105" s="386">
        <f t="shared" si="40"/>
        <v>5.916666666666666</v>
      </c>
      <c r="CQ105" s="198">
        <f t="shared" si="41"/>
        <v>5.916666666666666</v>
      </c>
      <c r="CR105" s="199">
        <v>0</v>
      </c>
      <c r="CS105" s="387">
        <v>2.5</v>
      </c>
      <c r="CT105" s="196">
        <f t="shared" si="42"/>
        <v>8.416666666666666</v>
      </c>
      <c r="CU105" s="390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86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86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86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86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86">
        <f t="shared" si="53"/>
        <v>20.916666666666664</v>
      </c>
    </row>
    <row r="106" ht="14.25" customHeight="1" spans="1:119" s="377" customFormat="1" x14ac:dyDescent="0.25">
      <c r="A106" s="378" t="s">
        <v>248</v>
      </c>
      <c r="B106" s="379"/>
      <c r="C106" s="380" t="s">
        <v>1120</v>
      </c>
      <c r="D106" s="381" t="s">
        <v>1438</v>
      </c>
      <c r="E106" s="381" t="s">
        <v>899</v>
      </c>
      <c r="F106" s="382" t="s">
        <v>1391</v>
      </c>
      <c r="G106" s="383">
        <v>46132</v>
      </c>
      <c r="H106" s="382"/>
      <c r="I106" s="383">
        <v>46314</v>
      </c>
      <c r="J106" s="382"/>
      <c r="K106" s="382"/>
      <c r="L106" s="382"/>
      <c r="M106" s="382"/>
      <c r="N106" s="382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5"/>
      <c r="CA106" s="384"/>
      <c r="CB106" s="384"/>
      <c r="CC106" s="385"/>
      <c r="CD106" s="385"/>
      <c r="CE106" s="386"/>
      <c r="CF106" s="387"/>
      <c r="CG106" s="388">
        <f t="shared" si="134"/>
        <v>0.9166666666666666</v>
      </c>
      <c r="CH106" s="386">
        <f t="shared" si="130"/>
        <v>0.9166666666666666</v>
      </c>
      <c r="CI106" s="386">
        <f t="shared" si="131"/>
        <v>0.9166666666666666</v>
      </c>
      <c r="CJ106" s="387"/>
      <c r="CK106" s="388">
        <v>2.5</v>
      </c>
      <c r="CL106" s="386">
        <f t="shared" si="132"/>
        <v>3.4166666666666665</v>
      </c>
      <c r="CM106" s="386">
        <f t="shared" si="133"/>
        <v>3.4166666666666665</v>
      </c>
      <c r="CN106" s="389"/>
      <c r="CO106" s="387">
        <v>2.5</v>
      </c>
      <c r="CP106" s="386">
        <f t="shared" si="40"/>
        <v>5.916666666666666</v>
      </c>
      <c r="CQ106" s="198">
        <f t="shared" si="41"/>
        <v>5.916666666666666</v>
      </c>
      <c r="CR106" s="199">
        <v>0</v>
      </c>
      <c r="CS106" s="387">
        <v>2.5</v>
      </c>
      <c r="CT106" s="196">
        <f t="shared" si="42"/>
        <v>8.416666666666666</v>
      </c>
      <c r="CU106" s="390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86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86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86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86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86">
        <f t="shared" si="53"/>
        <v>20.916666666666664</v>
      </c>
    </row>
    <row r="107" ht="14.25" customHeight="1" spans="1:119" s="377" customFormat="1" x14ac:dyDescent="0.25">
      <c r="A107" s="378" t="s">
        <v>94</v>
      </c>
      <c r="B107" s="379"/>
      <c r="C107" s="380" t="s">
        <v>1439</v>
      </c>
      <c r="D107" s="381" t="s">
        <v>1123</v>
      </c>
      <c r="E107" s="381" t="s">
        <v>66</v>
      </c>
      <c r="F107" s="382" t="s">
        <v>1391</v>
      </c>
      <c r="G107" s="383">
        <v>46132</v>
      </c>
      <c r="H107" s="382"/>
      <c r="I107" s="383">
        <v>46314</v>
      </c>
      <c r="J107" s="382"/>
      <c r="K107" s="382"/>
      <c r="L107" s="382"/>
      <c r="M107" s="382"/>
      <c r="N107" s="382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5"/>
      <c r="CA107" s="384"/>
      <c r="CB107" s="384"/>
      <c r="CC107" s="385"/>
      <c r="CD107" s="385"/>
      <c r="CE107" s="386"/>
      <c r="CF107" s="387"/>
      <c r="CG107" s="388">
        <f t="shared" si="134"/>
        <v>0.9166666666666666</v>
      </c>
      <c r="CH107" s="386">
        <f t="shared" si="130"/>
        <v>0.9166666666666666</v>
      </c>
      <c r="CI107" s="386">
        <f t="shared" si="131"/>
        <v>0.9166666666666666</v>
      </c>
      <c r="CJ107" s="387"/>
      <c r="CK107" s="388">
        <v>2.5</v>
      </c>
      <c r="CL107" s="386">
        <f t="shared" si="132"/>
        <v>3.4166666666666665</v>
      </c>
      <c r="CM107" s="386">
        <f t="shared" si="133"/>
        <v>3.4166666666666665</v>
      </c>
      <c r="CN107" s="389"/>
      <c r="CO107" s="387">
        <v>2.5</v>
      </c>
      <c r="CP107" s="386">
        <f t="shared" si="40"/>
        <v>5.916666666666666</v>
      </c>
      <c r="CQ107" s="198">
        <f t="shared" si="41"/>
        <v>5.916666666666666</v>
      </c>
      <c r="CR107" s="199">
        <v>0</v>
      </c>
      <c r="CS107" s="387">
        <v>2.5</v>
      </c>
      <c r="CT107" s="196">
        <f t="shared" si="42"/>
        <v>8.416666666666666</v>
      </c>
      <c r="CU107" s="390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86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86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86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86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86">
        <f t="shared" si="53"/>
        <v>20.916666666666664</v>
      </c>
    </row>
    <row r="108" ht="14.25" customHeight="1" spans="1:119" s="377" customFormat="1" x14ac:dyDescent="0.25">
      <c r="A108" s="378" t="s">
        <v>251</v>
      </c>
      <c r="B108" s="379"/>
      <c r="C108" s="380" t="s">
        <v>1440</v>
      </c>
      <c r="D108" s="381" t="s">
        <v>1125</v>
      </c>
      <c r="E108" s="381" t="s">
        <v>899</v>
      </c>
      <c r="F108" s="382" t="s">
        <v>1391</v>
      </c>
      <c r="G108" s="383">
        <v>46132</v>
      </c>
      <c r="H108" s="382"/>
      <c r="I108" s="383">
        <v>46314</v>
      </c>
      <c r="J108" s="382"/>
      <c r="K108" s="382"/>
      <c r="L108" s="382"/>
      <c r="M108" s="382"/>
      <c r="N108" s="382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5"/>
      <c r="CA108" s="384"/>
      <c r="CB108" s="384"/>
      <c r="CC108" s="385"/>
      <c r="CD108" s="385"/>
      <c r="CE108" s="386"/>
      <c r="CF108" s="387"/>
      <c r="CG108" s="388">
        <f t="shared" si="134"/>
        <v>0.9166666666666666</v>
      </c>
      <c r="CH108" s="386">
        <f t="shared" si="130"/>
        <v>0.9166666666666666</v>
      </c>
      <c r="CI108" s="386">
        <f t="shared" si="131"/>
        <v>0.9166666666666666</v>
      </c>
      <c r="CJ108" s="387"/>
      <c r="CK108" s="388">
        <v>2.5</v>
      </c>
      <c r="CL108" s="386">
        <f t="shared" si="132"/>
        <v>3.4166666666666665</v>
      </c>
      <c r="CM108" s="386">
        <f t="shared" si="133"/>
        <v>3.4166666666666665</v>
      </c>
      <c r="CN108" s="389"/>
      <c r="CO108" s="387">
        <v>2.5</v>
      </c>
      <c r="CP108" s="386">
        <f t="shared" si="40"/>
        <v>5.916666666666666</v>
      </c>
      <c r="CQ108" s="198">
        <f t="shared" si="41"/>
        <v>5.916666666666666</v>
      </c>
      <c r="CR108" s="199">
        <v>0</v>
      </c>
      <c r="CS108" s="387">
        <v>2.5</v>
      </c>
      <c r="CT108" s="196">
        <f t="shared" si="42"/>
        <v>8.416666666666666</v>
      </c>
      <c r="CU108" s="390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86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86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86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86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86">
        <f t="shared" si="53"/>
        <v>20.916666666666664</v>
      </c>
    </row>
    <row r="109" ht="14.25" customHeight="1" spans="1:119" s="377" customFormat="1" x14ac:dyDescent="0.25">
      <c r="A109" s="378" t="s">
        <v>254</v>
      </c>
      <c r="B109" s="379"/>
      <c r="C109" s="380" t="s">
        <v>1441</v>
      </c>
      <c r="D109" s="381" t="s">
        <v>1127</v>
      </c>
      <c r="E109" s="381" t="s">
        <v>899</v>
      </c>
      <c r="F109" s="382" t="s">
        <v>1391</v>
      </c>
      <c r="G109" s="383">
        <v>46132</v>
      </c>
      <c r="H109" s="382"/>
      <c r="I109" s="383">
        <v>46314</v>
      </c>
      <c r="J109" s="382"/>
      <c r="K109" s="382"/>
      <c r="L109" s="382"/>
      <c r="M109" s="382"/>
      <c r="N109" s="382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5"/>
      <c r="CA109" s="384"/>
      <c r="CB109" s="384"/>
      <c r="CC109" s="385"/>
      <c r="CD109" s="385"/>
      <c r="CE109" s="386"/>
      <c r="CF109" s="387"/>
      <c r="CG109" s="388">
        <f t="shared" si="134"/>
        <v>0.9166666666666666</v>
      </c>
      <c r="CH109" s="386">
        <f t="shared" si="130"/>
        <v>0.9166666666666666</v>
      </c>
      <c r="CI109" s="386">
        <f t="shared" si="131"/>
        <v>0.9166666666666666</v>
      </c>
      <c r="CJ109" s="387"/>
      <c r="CK109" s="388">
        <v>2.5</v>
      </c>
      <c r="CL109" s="386">
        <f t="shared" si="132"/>
        <v>3.4166666666666665</v>
      </c>
      <c r="CM109" s="386">
        <f t="shared" si="133"/>
        <v>3.4166666666666665</v>
      </c>
      <c r="CN109" s="389"/>
      <c r="CO109" s="387">
        <v>2.5</v>
      </c>
      <c r="CP109" s="386">
        <f t="shared" si="40"/>
        <v>5.916666666666666</v>
      </c>
      <c r="CQ109" s="198">
        <f t="shared" si="41"/>
        <v>5.916666666666666</v>
      </c>
      <c r="CR109" s="199">
        <v>0</v>
      </c>
      <c r="CS109" s="387">
        <v>2.5</v>
      </c>
      <c r="CT109" s="196">
        <f t="shared" si="42"/>
        <v>8.416666666666666</v>
      </c>
      <c r="CU109" s="390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86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86">
        <f t="shared" si="47"/>
        <v>13.416666666666666</v>
      </c>
      <c r="DD109" s="182">
        <v>0</v>
      </c>
      <c r="DE109" s="174">
        <v>2.5</v>
      </c>
      <c r="DF109" s="196">
        <f t="shared" si="48"/>
        <v>15.916666666666666</v>
      </c>
      <c r="DG109" s="386">
        <f t="shared" si="49"/>
        <v>15.916666666666666</v>
      </c>
      <c r="DH109" s="182">
        <v>0</v>
      </c>
      <c r="DI109" s="174">
        <v>2.5</v>
      </c>
      <c r="DJ109" s="196">
        <f t="shared" si="50"/>
        <v>18.416666666666664</v>
      </c>
      <c r="DK109" s="386">
        <f t="shared" si="51"/>
        <v>18.416666666666664</v>
      </c>
      <c r="DL109" s="182">
        <v>0</v>
      </c>
      <c r="DM109" s="174">
        <v>2.5</v>
      </c>
      <c r="DN109" s="196">
        <f t="shared" si="52"/>
        <v>20.916666666666664</v>
      </c>
      <c r="DO109" s="386">
        <f t="shared" si="53"/>
        <v>20.916666666666664</v>
      </c>
    </row>
    <row r="110" ht="14.25" customHeight="1" spans="1:119" s="377" customFormat="1" x14ac:dyDescent="0.25">
      <c r="A110" s="378" t="s">
        <v>116</v>
      </c>
      <c r="B110" s="379"/>
      <c r="C110" s="380" t="s">
        <v>1442</v>
      </c>
      <c r="D110" s="381" t="s">
        <v>1129</v>
      </c>
      <c r="E110" s="381" t="s">
        <v>899</v>
      </c>
      <c r="F110" s="382" t="s">
        <v>1391</v>
      </c>
      <c r="G110" s="383">
        <v>46132</v>
      </c>
      <c r="H110" s="382"/>
      <c r="I110" s="383">
        <v>46314</v>
      </c>
      <c r="J110" s="382"/>
      <c r="K110" s="382"/>
      <c r="L110" s="382"/>
      <c r="M110" s="382"/>
      <c r="N110" s="382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5"/>
      <c r="CA110" s="384"/>
      <c r="CB110" s="384"/>
      <c r="CC110" s="385"/>
      <c r="CD110" s="385"/>
      <c r="CE110" s="386"/>
      <c r="CF110" s="387"/>
      <c r="CG110" s="388">
        <f t="shared" si="134"/>
        <v>0.9166666666666666</v>
      </c>
      <c r="CH110" s="386">
        <f t="shared" si="130"/>
        <v>0.9166666666666666</v>
      </c>
      <c r="CI110" s="386">
        <f t="shared" si="131"/>
        <v>0.9166666666666666</v>
      </c>
      <c r="CJ110" s="387"/>
      <c r="CK110" s="388">
        <v>2.5</v>
      </c>
      <c r="CL110" s="386">
        <f t="shared" si="132"/>
        <v>3.4166666666666665</v>
      </c>
      <c r="CM110" s="386">
        <f t="shared" si="133"/>
        <v>3.4166666666666665</v>
      </c>
      <c r="CN110" s="389"/>
      <c r="CO110" s="387">
        <v>2.5</v>
      </c>
      <c r="CP110" s="386">
        <f t="shared" si="40"/>
        <v>5.916666666666666</v>
      </c>
      <c r="CQ110" s="198">
        <f t="shared" si="41"/>
        <v>5.916666666666666</v>
      </c>
      <c r="CR110" s="199">
        <v>0</v>
      </c>
      <c r="CS110" s="387">
        <v>2.5</v>
      </c>
      <c r="CT110" s="196">
        <f t="shared" si="42"/>
        <v>8.416666666666666</v>
      </c>
      <c r="CU110" s="390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86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86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86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86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86">
        <f t="shared" si="53"/>
        <v>20.916666666666664</v>
      </c>
    </row>
    <row r="111" ht="14.25" customHeight="1" spans="1:119" s="377" customFormat="1" x14ac:dyDescent="0.25">
      <c r="A111" s="378" t="s">
        <v>257</v>
      </c>
      <c r="B111" s="379"/>
      <c r="C111" s="380" t="s">
        <v>1443</v>
      </c>
      <c r="D111" s="381" t="s">
        <v>1131</v>
      </c>
      <c r="E111" s="381" t="s">
        <v>899</v>
      </c>
      <c r="F111" s="382" t="s">
        <v>1391</v>
      </c>
      <c r="G111" s="383">
        <v>46132</v>
      </c>
      <c r="H111" s="382"/>
      <c r="I111" s="383">
        <v>46314</v>
      </c>
      <c r="J111" s="382"/>
      <c r="K111" s="382"/>
      <c r="L111" s="382"/>
      <c r="M111" s="382"/>
      <c r="N111" s="382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5"/>
      <c r="CA111" s="384"/>
      <c r="CB111" s="384"/>
      <c r="CC111" s="385"/>
      <c r="CD111" s="385"/>
      <c r="CE111" s="386"/>
      <c r="CF111" s="387"/>
      <c r="CG111" s="388">
        <f t="shared" si="134"/>
        <v>0.9166666666666666</v>
      </c>
      <c r="CH111" s="386">
        <f t="shared" si="130"/>
        <v>0.9166666666666666</v>
      </c>
      <c r="CI111" s="386">
        <f t="shared" si="131"/>
        <v>0.9166666666666666</v>
      </c>
      <c r="CJ111" s="387"/>
      <c r="CK111" s="388">
        <v>2.5</v>
      </c>
      <c r="CL111" s="386">
        <f t="shared" si="132"/>
        <v>3.4166666666666665</v>
      </c>
      <c r="CM111" s="386">
        <f t="shared" si="133"/>
        <v>3.4166666666666665</v>
      </c>
      <c r="CN111" s="389"/>
      <c r="CO111" s="387">
        <v>2.5</v>
      </c>
      <c r="CP111" s="386">
        <f t="shared" si="40"/>
        <v>5.916666666666666</v>
      </c>
      <c r="CQ111" s="198">
        <f t="shared" si="41"/>
        <v>5.916666666666666</v>
      </c>
      <c r="CR111" s="199">
        <v>0</v>
      </c>
      <c r="CS111" s="387">
        <v>2.5</v>
      </c>
      <c r="CT111" s="196">
        <f t="shared" si="42"/>
        <v>8.416666666666666</v>
      </c>
      <c r="CU111" s="390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86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86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86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86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86">
        <f t="shared" si="53"/>
        <v>19.916666666666664</v>
      </c>
    </row>
    <row r="112" ht="14.25" customHeight="1" spans="1:119" s="377" customFormat="1" x14ac:dyDescent="0.25">
      <c r="A112" s="378" t="s">
        <v>242</v>
      </c>
      <c r="B112" s="379"/>
      <c r="C112" s="380" t="s">
        <v>1444</v>
      </c>
      <c r="D112" s="381" t="s">
        <v>1445</v>
      </c>
      <c r="E112" s="381"/>
      <c r="F112" s="382"/>
      <c r="G112" s="383"/>
      <c r="H112" s="382"/>
      <c r="I112" s="383"/>
      <c r="J112" s="382"/>
      <c r="K112" s="382"/>
      <c r="L112" s="382"/>
      <c r="M112" s="382"/>
      <c r="N112" s="382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5"/>
      <c r="CA112" s="384"/>
      <c r="CB112" s="384"/>
      <c r="CC112" s="385"/>
      <c r="CD112" s="385"/>
      <c r="CE112" s="386"/>
      <c r="CF112" s="387"/>
      <c r="CG112" s="388">
        <f t="shared" si="134"/>
        <v>0.9166666666666666</v>
      </c>
      <c r="CH112" s="386">
        <f t="shared" si="130"/>
        <v>0.9166666666666666</v>
      </c>
      <c r="CI112" s="386">
        <f t="shared" si="131"/>
        <v>0.9166666666666666</v>
      </c>
      <c r="CJ112" s="387"/>
      <c r="CK112" s="388">
        <v>2.5</v>
      </c>
      <c r="CL112" s="386">
        <f t="shared" si="132"/>
        <v>3.4166666666666665</v>
      </c>
      <c r="CM112" s="386">
        <f t="shared" si="133"/>
        <v>3.4166666666666665</v>
      </c>
      <c r="CN112" s="389"/>
      <c r="CO112" s="387">
        <v>2.5</v>
      </c>
      <c r="CP112" s="386">
        <f t="shared" si="40"/>
        <v>5.916666666666666</v>
      </c>
      <c r="CQ112" s="198">
        <f t="shared" si="41"/>
        <v>5.916666666666666</v>
      </c>
      <c r="CR112" s="199">
        <v>0</v>
      </c>
      <c r="CS112" s="387">
        <v>2.5</v>
      </c>
      <c r="CT112" s="196">
        <f t="shared" si="42"/>
        <v>8.416666666666666</v>
      </c>
      <c r="CU112" s="390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86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86">
        <f t="shared" si="47"/>
        <v>13.416666666666666</v>
      </c>
      <c r="DD112" s="182">
        <v>0</v>
      </c>
      <c r="DE112" s="174">
        <v>2.5</v>
      </c>
      <c r="DF112" s="196"/>
      <c r="DG112" s="386"/>
      <c r="DH112" s="199"/>
      <c r="DI112" s="39"/>
      <c r="DJ112" s="196"/>
      <c r="DK112" s="386"/>
      <c r="DL112" s="199"/>
      <c r="DM112" s="39"/>
      <c r="DN112" s="196"/>
      <c r="DO112" s="386"/>
    </row>
    <row r="113" ht="14.25" customHeight="1" spans="1:119" s="377" customFormat="1" x14ac:dyDescent="0.25">
      <c r="A113" s="378" t="s">
        <v>245</v>
      </c>
      <c r="B113" s="379"/>
      <c r="C113" s="380" t="s">
        <v>1437</v>
      </c>
      <c r="D113" s="381" t="s">
        <v>1119</v>
      </c>
      <c r="E113" s="381"/>
      <c r="F113" s="382"/>
      <c r="G113" s="383"/>
      <c r="H113" s="382"/>
      <c r="I113" s="383"/>
      <c r="J113" s="382"/>
      <c r="K113" s="382"/>
      <c r="L113" s="382"/>
      <c r="M113" s="382"/>
      <c r="N113" s="382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5"/>
      <c r="CA113" s="384"/>
      <c r="CB113" s="384"/>
      <c r="CC113" s="385"/>
      <c r="CD113" s="385"/>
      <c r="CE113" s="386"/>
      <c r="CF113" s="387"/>
      <c r="CG113" s="388">
        <f t="shared" si="134"/>
        <v>0.9166666666666666</v>
      </c>
      <c r="CH113" s="386">
        <f t="shared" si="130"/>
        <v>0.9166666666666666</v>
      </c>
      <c r="CI113" s="386">
        <f t="shared" si="131"/>
        <v>0.9166666666666666</v>
      </c>
      <c r="CJ113" s="387"/>
      <c r="CK113" s="388">
        <v>2.5</v>
      </c>
      <c r="CL113" s="386">
        <f t="shared" si="132"/>
        <v>3.4166666666666665</v>
      </c>
      <c r="CM113" s="386">
        <f t="shared" si="133"/>
        <v>3.4166666666666665</v>
      </c>
      <c r="CN113" s="389"/>
      <c r="CO113" s="387">
        <v>2.5</v>
      </c>
      <c r="CP113" s="386">
        <f t="shared" si="40"/>
        <v>5.916666666666666</v>
      </c>
      <c r="CQ113" s="198">
        <f t="shared" si="41"/>
        <v>5.916666666666666</v>
      </c>
      <c r="CR113" s="199">
        <v>0</v>
      </c>
      <c r="CS113" s="387">
        <v>2.5</v>
      </c>
      <c r="CT113" s="196">
        <f t="shared" si="42"/>
        <v>8.416666666666666</v>
      </c>
      <c r="CU113" s="390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86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86">
        <f t="shared" si="47"/>
        <v>13.416666666666666</v>
      </c>
      <c r="DD113" s="182">
        <v>0</v>
      </c>
      <c r="DE113" s="174">
        <v>2.5</v>
      </c>
      <c r="DF113" s="196"/>
      <c r="DG113" s="386"/>
      <c r="DH113" s="199"/>
      <c r="DI113" s="39"/>
      <c r="DJ113" s="196"/>
      <c r="DK113" s="386"/>
      <c r="DL113" s="199"/>
      <c r="DM113" s="39"/>
      <c r="DN113" s="196"/>
      <c r="DO113" s="386"/>
    </row>
    <row r="114" ht="14.25" customHeight="1" spans="1:119" s="377" customFormat="1" x14ac:dyDescent="0.25">
      <c r="A114" s="378" t="s">
        <v>248</v>
      </c>
      <c r="B114" s="379"/>
      <c r="C114" s="380" t="s">
        <v>1446</v>
      </c>
      <c r="D114" s="381" t="s">
        <v>1447</v>
      </c>
      <c r="E114" s="381"/>
      <c r="F114" s="382"/>
      <c r="G114" s="383"/>
      <c r="H114" s="382"/>
      <c r="I114" s="383"/>
      <c r="J114" s="382"/>
      <c r="K114" s="382"/>
      <c r="L114" s="382"/>
      <c r="M114" s="382"/>
      <c r="N114" s="382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5"/>
      <c r="CA114" s="384"/>
      <c r="CB114" s="384"/>
      <c r="CC114" s="385"/>
      <c r="CD114" s="385"/>
      <c r="CE114" s="386"/>
      <c r="CF114" s="387"/>
      <c r="CG114" s="388">
        <f t="shared" si="134"/>
        <v>0.9166666666666666</v>
      </c>
      <c r="CH114" s="386">
        <f t="shared" si="130"/>
        <v>0.9166666666666666</v>
      </c>
      <c r="CI114" s="386">
        <f t="shared" si="131"/>
        <v>0.9166666666666666</v>
      </c>
      <c r="CJ114" s="387"/>
      <c r="CK114" s="388">
        <v>2.5</v>
      </c>
      <c r="CL114" s="386">
        <f t="shared" si="132"/>
        <v>3.4166666666666665</v>
      </c>
      <c r="CM114" s="386">
        <f t="shared" si="133"/>
        <v>3.4166666666666665</v>
      </c>
      <c r="CN114" s="389"/>
      <c r="CO114" s="387">
        <v>2.5</v>
      </c>
      <c r="CP114" s="386">
        <f t="shared" si="40"/>
        <v>5.916666666666666</v>
      </c>
      <c r="CQ114" s="198">
        <f t="shared" si="41"/>
        <v>5.916666666666666</v>
      </c>
      <c r="CR114" s="199">
        <v>0</v>
      </c>
      <c r="CS114" s="387">
        <v>2.5</v>
      </c>
      <c r="CT114" s="196">
        <f t="shared" si="42"/>
        <v>8.416666666666666</v>
      </c>
      <c r="CU114" s="390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86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86">
        <f t="shared" si="47"/>
        <v>13.416666666666666</v>
      </c>
      <c r="DD114" s="182">
        <v>0</v>
      </c>
      <c r="DE114" s="174">
        <v>2.5</v>
      </c>
      <c r="DF114" s="196"/>
      <c r="DG114" s="386"/>
      <c r="DH114" s="199"/>
      <c r="DI114" s="39"/>
      <c r="DJ114" s="196"/>
      <c r="DK114" s="386"/>
      <c r="DL114" s="199"/>
      <c r="DM114" s="39"/>
      <c r="DN114" s="196"/>
      <c r="DO114" s="386"/>
    </row>
    <row r="115" ht="14.25" customHeight="1" spans="1:119" s="377" customFormat="1" x14ac:dyDescent="0.25">
      <c r="A115" s="378" t="s">
        <v>262</v>
      </c>
      <c r="B115" s="379"/>
      <c r="C115" s="380" t="s">
        <v>1448</v>
      </c>
      <c r="D115" s="381" t="s">
        <v>1135</v>
      </c>
      <c r="E115" s="381" t="s">
        <v>899</v>
      </c>
      <c r="F115" s="382" t="s">
        <v>1391</v>
      </c>
      <c r="G115" s="383">
        <v>46132</v>
      </c>
      <c r="H115" s="382"/>
      <c r="I115" s="383">
        <v>46314</v>
      </c>
      <c r="J115" s="382"/>
      <c r="K115" s="382"/>
      <c r="L115" s="382"/>
      <c r="M115" s="382"/>
      <c r="N115" s="382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5"/>
      <c r="CA115" s="384"/>
      <c r="CB115" s="384"/>
      <c r="CC115" s="385"/>
      <c r="CD115" s="385"/>
      <c r="CE115" s="386"/>
      <c r="CF115" s="387"/>
      <c r="CG115" s="388">
        <f t="shared" si="134"/>
        <v>0.9166666666666666</v>
      </c>
      <c r="CH115" s="386">
        <f t="shared" si="130"/>
        <v>0.9166666666666666</v>
      </c>
      <c r="CI115" s="386">
        <f t="shared" si="131"/>
        <v>0.9166666666666666</v>
      </c>
      <c r="CJ115" s="387"/>
      <c r="CK115" s="388">
        <v>2.5</v>
      </c>
      <c r="CL115" s="386">
        <f t="shared" si="132"/>
        <v>3.4166666666666665</v>
      </c>
      <c r="CM115" s="386">
        <f t="shared" si="133"/>
        <v>3.4166666666666665</v>
      </c>
      <c r="CN115" s="389"/>
      <c r="CO115" s="387">
        <v>2.5</v>
      </c>
      <c r="CP115" s="386">
        <f t="shared" si="40"/>
        <v>5.916666666666666</v>
      </c>
      <c r="CQ115" s="198">
        <f t="shared" si="41"/>
        <v>5.916666666666666</v>
      </c>
      <c r="CR115" s="199">
        <v>0</v>
      </c>
      <c r="CS115" s="387">
        <v>2.5</v>
      </c>
      <c r="CT115" s="196">
        <f t="shared" si="42"/>
        <v>8.416666666666666</v>
      </c>
      <c r="CU115" s="390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86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86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86">
        <f t="shared" ref="DG115:DG152" si="137">DF115-DD115</f>
        <v>15.916666666666666</v>
      </c>
      <c r="DH115" s="199">
        <v>10</v>
      </c>
      <c r="DI115" s="39">
        <v>12.5</v>
      </c>
      <c r="DJ115" s="196">
        <f t="shared" ref="DJ115:DJ152" si="138">DG115+DI115</f>
        <v>28.416666666666664</v>
      </c>
      <c r="DK115" s="386">
        <f t="shared" ref="DK115:DK152" si="139">DJ115-DH115</f>
        <v>18.416666666666664</v>
      </c>
      <c r="DL115" s="199">
        <v>15</v>
      </c>
      <c r="DM115" s="39">
        <v>17.5</v>
      </c>
      <c r="DN115" s="196">
        <f t="shared" ref="DN115:DN152" si="140">DK115+DM115</f>
        <v>35.916666666666664</v>
      </c>
      <c r="DO115" s="386">
        <f t="shared" ref="DO115:DO152" si="141">DN115-DL115</f>
        <v>20.916666666666664</v>
      </c>
    </row>
    <row r="116" ht="14.4" customHeight="1" spans="1:119" s="377" customFormat="1" x14ac:dyDescent="0.25">
      <c r="A116" s="378" t="s">
        <v>265</v>
      </c>
      <c r="B116" s="379"/>
      <c r="C116" s="380" t="s">
        <v>1449</v>
      </c>
      <c r="D116" s="381" t="s">
        <v>1140</v>
      </c>
      <c r="E116" s="381" t="s">
        <v>899</v>
      </c>
      <c r="F116" s="382" t="s">
        <v>1391</v>
      </c>
      <c r="G116" s="383">
        <v>46132</v>
      </c>
      <c r="H116" s="382"/>
      <c r="I116" s="383">
        <v>46314</v>
      </c>
      <c r="J116" s="382"/>
      <c r="K116" s="382"/>
      <c r="L116" s="382"/>
      <c r="M116" s="382"/>
      <c r="N116" s="382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5"/>
      <c r="CA116" s="384"/>
      <c r="CB116" s="384"/>
      <c r="CC116" s="385"/>
      <c r="CD116" s="385"/>
      <c r="CE116" s="386"/>
      <c r="CF116" s="387"/>
      <c r="CG116" s="388">
        <f t="shared" si="134"/>
        <v>0.9166666666666666</v>
      </c>
      <c r="CH116" s="386">
        <f t="shared" si="130"/>
        <v>0.9166666666666666</v>
      </c>
      <c r="CI116" s="386">
        <f t="shared" si="131"/>
        <v>0.9166666666666666</v>
      </c>
      <c r="CJ116" s="387"/>
      <c r="CK116" s="388">
        <v>2.5</v>
      </c>
      <c r="CL116" s="386">
        <f t="shared" si="132"/>
        <v>3.4166666666666665</v>
      </c>
      <c r="CM116" s="386">
        <f t="shared" si="133"/>
        <v>3.4166666666666665</v>
      </c>
      <c r="CN116" s="389"/>
      <c r="CO116" s="387">
        <v>2.5</v>
      </c>
      <c r="CP116" s="386">
        <f t="shared" si="40"/>
        <v>5.916666666666666</v>
      </c>
      <c r="CQ116" s="198">
        <f t="shared" si="41"/>
        <v>5.916666666666666</v>
      </c>
      <c r="CR116" s="199">
        <v>0</v>
      </c>
      <c r="CS116" s="387">
        <v>2.5</v>
      </c>
      <c r="CT116" s="196">
        <f t="shared" si="42"/>
        <v>8.416666666666666</v>
      </c>
      <c r="CU116" s="390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86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86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86">
        <f t="shared" si="137"/>
        <v>15.916666666666666</v>
      </c>
      <c r="DH116" s="199">
        <v>10</v>
      </c>
      <c r="DI116" s="39">
        <v>12.5</v>
      </c>
      <c r="DJ116" s="196">
        <f t="shared" si="138"/>
        <v>28.416666666666664</v>
      </c>
      <c r="DK116" s="386">
        <f t="shared" si="139"/>
        <v>18.416666666666664</v>
      </c>
      <c r="DL116" s="199">
        <v>15</v>
      </c>
      <c r="DM116" s="39">
        <v>17.5</v>
      </c>
      <c r="DN116" s="196">
        <f t="shared" si="140"/>
        <v>35.916666666666664</v>
      </c>
      <c r="DO116" s="386">
        <f t="shared" si="141"/>
        <v>20.916666666666664</v>
      </c>
    </row>
    <row r="117" ht="14.25" customHeight="1" spans="1:119" s="377" customFormat="1" x14ac:dyDescent="0.25">
      <c r="A117" s="378" t="s">
        <v>268</v>
      </c>
      <c r="B117" s="379"/>
      <c r="C117" s="380" t="s">
        <v>1151</v>
      </c>
      <c r="D117" s="381" t="s">
        <v>1142</v>
      </c>
      <c r="E117" s="381" t="s">
        <v>899</v>
      </c>
      <c r="F117" s="382" t="s">
        <v>1391</v>
      </c>
      <c r="G117" s="383">
        <v>46132</v>
      </c>
      <c r="H117" s="382"/>
      <c r="I117" s="383">
        <v>46314</v>
      </c>
      <c r="J117" s="382"/>
      <c r="K117" s="382"/>
      <c r="L117" s="382"/>
      <c r="M117" s="382"/>
      <c r="N117" s="382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5"/>
      <c r="CA117" s="384"/>
      <c r="CB117" s="384"/>
      <c r="CC117" s="385"/>
      <c r="CD117" s="385"/>
      <c r="CE117" s="386"/>
      <c r="CF117" s="387"/>
      <c r="CG117" s="388">
        <f t="shared" si="134"/>
        <v>0.9166666666666666</v>
      </c>
      <c r="CH117" s="386">
        <f t="shared" si="130"/>
        <v>0.9166666666666666</v>
      </c>
      <c r="CI117" s="386">
        <f t="shared" si="131"/>
        <v>0.9166666666666666</v>
      </c>
      <c r="CJ117" s="387"/>
      <c r="CK117" s="388">
        <v>2.5</v>
      </c>
      <c r="CL117" s="386">
        <f t="shared" si="132"/>
        <v>3.4166666666666665</v>
      </c>
      <c r="CM117" s="386">
        <f t="shared" si="133"/>
        <v>3.4166666666666665</v>
      </c>
      <c r="CN117" s="389"/>
      <c r="CO117" s="387">
        <v>2.5</v>
      </c>
      <c r="CP117" s="386">
        <f t="shared" si="40"/>
        <v>5.916666666666666</v>
      </c>
      <c r="CQ117" s="198">
        <f t="shared" si="41"/>
        <v>5.916666666666666</v>
      </c>
      <c r="CR117" s="199">
        <v>0</v>
      </c>
      <c r="CS117" s="387">
        <v>2.5</v>
      </c>
      <c r="CT117" s="196">
        <f t="shared" si="42"/>
        <v>8.416666666666666</v>
      </c>
      <c r="CU117" s="390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86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86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86">
        <f t="shared" si="137"/>
        <v>15.916666666666666</v>
      </c>
      <c r="DH117" s="199">
        <v>10</v>
      </c>
      <c r="DI117" s="39">
        <v>12.5</v>
      </c>
      <c r="DJ117" s="196">
        <f t="shared" si="138"/>
        <v>28.416666666666664</v>
      </c>
      <c r="DK117" s="386">
        <f t="shared" si="139"/>
        <v>18.416666666666664</v>
      </c>
      <c r="DL117" s="199">
        <v>15</v>
      </c>
      <c r="DM117" s="39">
        <v>17.5</v>
      </c>
      <c r="DN117" s="196">
        <f t="shared" si="140"/>
        <v>35.916666666666664</v>
      </c>
      <c r="DO117" s="386">
        <f t="shared" si="141"/>
        <v>20.916666666666664</v>
      </c>
    </row>
    <row r="118" ht="14.25" customHeight="1" spans="1:119" s="377" customFormat="1" x14ac:dyDescent="0.25">
      <c r="A118" s="378" t="s">
        <v>297</v>
      </c>
      <c r="B118" s="379"/>
      <c r="C118" s="380" t="s">
        <v>1450</v>
      </c>
      <c r="D118" s="381" t="s">
        <v>1144</v>
      </c>
      <c r="E118" s="381" t="s">
        <v>899</v>
      </c>
      <c r="F118" s="382" t="s">
        <v>1391</v>
      </c>
      <c r="G118" s="383">
        <v>46132</v>
      </c>
      <c r="H118" s="382"/>
      <c r="I118" s="383">
        <v>46314</v>
      </c>
      <c r="J118" s="382"/>
      <c r="K118" s="382"/>
      <c r="L118" s="382"/>
      <c r="M118" s="382"/>
      <c r="N118" s="382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5"/>
      <c r="CA118" s="384"/>
      <c r="CB118" s="384"/>
      <c r="CC118" s="385"/>
      <c r="CD118" s="385"/>
      <c r="CE118" s="386"/>
      <c r="CF118" s="387"/>
      <c r="CG118" s="388">
        <f t="shared" si="134"/>
        <v>0.9166666666666666</v>
      </c>
      <c r="CH118" s="386">
        <f t="shared" si="130"/>
        <v>0.9166666666666666</v>
      </c>
      <c r="CI118" s="386">
        <f t="shared" si="131"/>
        <v>0.9166666666666666</v>
      </c>
      <c r="CJ118" s="387"/>
      <c r="CK118" s="388">
        <v>2.5</v>
      </c>
      <c r="CL118" s="386">
        <f t="shared" si="132"/>
        <v>3.4166666666666665</v>
      </c>
      <c r="CM118" s="386">
        <f t="shared" si="133"/>
        <v>3.4166666666666665</v>
      </c>
      <c r="CN118" s="389"/>
      <c r="CO118" s="387">
        <v>2.5</v>
      </c>
      <c r="CP118" s="386">
        <f t="shared" si="40"/>
        <v>5.916666666666666</v>
      </c>
      <c r="CQ118" s="198">
        <f t="shared" si="41"/>
        <v>5.916666666666666</v>
      </c>
      <c r="CR118" s="199">
        <v>0</v>
      </c>
      <c r="CS118" s="387">
        <v>2.5</v>
      </c>
      <c r="CT118" s="196">
        <f t="shared" si="42"/>
        <v>8.416666666666666</v>
      </c>
      <c r="CU118" s="390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86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86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86">
        <f t="shared" si="137"/>
        <v>12.916666666666666</v>
      </c>
      <c r="DH118" s="199">
        <v>10</v>
      </c>
      <c r="DI118" s="39">
        <v>12.5</v>
      </c>
      <c r="DJ118" s="196">
        <f t="shared" si="138"/>
        <v>25.416666666666664</v>
      </c>
      <c r="DK118" s="386">
        <f t="shared" si="139"/>
        <v>15.416666666666664</v>
      </c>
      <c r="DL118" s="199">
        <v>15</v>
      </c>
      <c r="DM118" s="39">
        <v>17.5</v>
      </c>
      <c r="DN118" s="196">
        <f t="shared" si="140"/>
        <v>32.916666666666664</v>
      </c>
      <c r="DO118" s="386">
        <f t="shared" si="141"/>
        <v>17.916666666666664</v>
      </c>
    </row>
    <row r="119" ht="14.25" customHeight="1" spans="1:119" s="377" customFormat="1" x14ac:dyDescent="0.25">
      <c r="A119" s="378" t="s">
        <v>306</v>
      </c>
      <c r="B119" s="379"/>
      <c r="C119" s="380" t="s">
        <v>1451</v>
      </c>
      <c r="D119" s="381" t="s">
        <v>1146</v>
      </c>
      <c r="E119" s="381" t="s">
        <v>899</v>
      </c>
      <c r="F119" s="382" t="s">
        <v>1391</v>
      </c>
      <c r="G119" s="383">
        <v>46132</v>
      </c>
      <c r="H119" s="382"/>
      <c r="I119" s="383">
        <v>46314</v>
      </c>
      <c r="J119" s="382"/>
      <c r="K119" s="382"/>
      <c r="L119" s="382"/>
      <c r="M119" s="382"/>
      <c r="N119" s="382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5"/>
      <c r="CA119" s="384"/>
      <c r="CB119" s="384"/>
      <c r="CC119" s="385"/>
      <c r="CD119" s="385"/>
      <c r="CE119" s="386"/>
      <c r="CF119" s="387"/>
      <c r="CG119" s="388">
        <f t="shared" si="134"/>
        <v>0.9166666666666666</v>
      </c>
      <c r="CH119" s="386">
        <f t="shared" si="130"/>
        <v>0.9166666666666666</v>
      </c>
      <c r="CI119" s="386">
        <f t="shared" si="131"/>
        <v>0.9166666666666666</v>
      </c>
      <c r="CJ119" s="387"/>
      <c r="CK119" s="388">
        <v>2.5</v>
      </c>
      <c r="CL119" s="386">
        <f t="shared" si="132"/>
        <v>3.4166666666666665</v>
      </c>
      <c r="CM119" s="386">
        <f t="shared" si="133"/>
        <v>3.4166666666666665</v>
      </c>
      <c r="CN119" s="389"/>
      <c r="CO119" s="387">
        <v>2.5</v>
      </c>
      <c r="CP119" s="386">
        <f t="shared" si="40"/>
        <v>5.916666666666666</v>
      </c>
      <c r="CQ119" s="198">
        <f t="shared" si="41"/>
        <v>5.916666666666666</v>
      </c>
      <c r="CR119" s="199">
        <v>0</v>
      </c>
      <c r="CS119" s="387">
        <v>2.5</v>
      </c>
      <c r="CT119" s="196">
        <f t="shared" si="42"/>
        <v>8.416666666666666</v>
      </c>
      <c r="CU119" s="390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86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86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86">
        <f t="shared" si="137"/>
        <v>15.916666666666666</v>
      </c>
      <c r="DH119" s="199">
        <v>10</v>
      </c>
      <c r="DI119" s="39">
        <v>12.5</v>
      </c>
      <c r="DJ119" s="196">
        <f t="shared" si="138"/>
        <v>28.416666666666664</v>
      </c>
      <c r="DK119" s="386">
        <f t="shared" si="139"/>
        <v>18.416666666666664</v>
      </c>
      <c r="DL119" s="199">
        <v>15</v>
      </c>
      <c r="DM119" s="39">
        <v>17.5</v>
      </c>
      <c r="DN119" s="196">
        <f t="shared" si="140"/>
        <v>35.916666666666664</v>
      </c>
      <c r="DO119" s="386">
        <f t="shared" si="141"/>
        <v>20.916666666666664</v>
      </c>
    </row>
    <row r="120" ht="14.25" customHeight="1" spans="1:119" s="377" customFormat="1" x14ac:dyDescent="0.25">
      <c r="A120" s="378" t="s">
        <v>278</v>
      </c>
      <c r="B120" s="379"/>
      <c r="C120" s="380" t="s">
        <v>1452</v>
      </c>
      <c r="D120" s="381" t="s">
        <v>1148</v>
      </c>
      <c r="E120" s="381" t="s">
        <v>899</v>
      </c>
      <c r="F120" s="382" t="s">
        <v>1391</v>
      </c>
      <c r="G120" s="383">
        <v>46132</v>
      </c>
      <c r="H120" s="382"/>
      <c r="I120" s="383">
        <v>46314</v>
      </c>
      <c r="J120" s="382"/>
      <c r="K120" s="382"/>
      <c r="L120" s="382"/>
      <c r="M120" s="382"/>
      <c r="N120" s="382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5"/>
      <c r="CA120" s="384"/>
      <c r="CB120" s="384"/>
      <c r="CC120" s="385"/>
      <c r="CD120" s="385"/>
      <c r="CE120" s="386"/>
      <c r="CF120" s="387"/>
      <c r="CG120" s="388">
        <f t="shared" si="134"/>
        <v>0.9166666666666666</v>
      </c>
      <c r="CH120" s="386">
        <f t="shared" si="130"/>
        <v>0.9166666666666666</v>
      </c>
      <c r="CI120" s="386">
        <f t="shared" si="131"/>
        <v>0.9166666666666666</v>
      </c>
      <c r="CJ120" s="387"/>
      <c r="CK120" s="388">
        <v>2.5</v>
      </c>
      <c r="CL120" s="386">
        <f t="shared" si="132"/>
        <v>3.4166666666666665</v>
      </c>
      <c r="CM120" s="386">
        <f t="shared" si="133"/>
        <v>3.4166666666666665</v>
      </c>
      <c r="CN120" s="389"/>
      <c r="CO120" s="387">
        <v>2.5</v>
      </c>
      <c r="CP120" s="386">
        <f t="shared" si="40"/>
        <v>5.916666666666666</v>
      </c>
      <c r="CQ120" s="198">
        <f t="shared" si="41"/>
        <v>5.916666666666666</v>
      </c>
      <c r="CR120" s="199">
        <v>0</v>
      </c>
      <c r="CS120" s="387">
        <v>2.5</v>
      </c>
      <c r="CT120" s="196">
        <f t="shared" si="42"/>
        <v>8.416666666666666</v>
      </c>
      <c r="CU120" s="390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86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86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86">
        <f t="shared" si="137"/>
        <v>15.916666666666666</v>
      </c>
      <c r="DH120" s="199">
        <v>10</v>
      </c>
      <c r="DI120" s="39">
        <v>12.5</v>
      </c>
      <c r="DJ120" s="196">
        <f t="shared" si="138"/>
        <v>28.416666666666664</v>
      </c>
      <c r="DK120" s="386">
        <f t="shared" si="139"/>
        <v>18.416666666666664</v>
      </c>
      <c r="DL120" s="199">
        <v>15</v>
      </c>
      <c r="DM120" s="39">
        <v>17.5</v>
      </c>
      <c r="DN120" s="196">
        <f t="shared" si="140"/>
        <v>35.916666666666664</v>
      </c>
      <c r="DO120" s="386">
        <f t="shared" si="141"/>
        <v>20.916666666666664</v>
      </c>
    </row>
    <row r="121" ht="14.25" customHeight="1" spans="1:119" s="377" customFormat="1" x14ac:dyDescent="0.25">
      <c r="A121" s="378" t="s">
        <v>274</v>
      </c>
      <c r="B121" s="379"/>
      <c r="C121" s="380" t="s">
        <v>1453</v>
      </c>
      <c r="D121" s="381" t="s">
        <v>1150</v>
      </c>
      <c r="E121" s="381" t="s">
        <v>899</v>
      </c>
      <c r="F121" s="382" t="s">
        <v>1391</v>
      </c>
      <c r="G121" s="383">
        <v>46132</v>
      </c>
      <c r="H121" s="382"/>
      <c r="I121" s="383">
        <v>46314</v>
      </c>
      <c r="J121" s="382"/>
      <c r="K121" s="382"/>
      <c r="L121" s="382"/>
      <c r="M121" s="382"/>
      <c r="N121" s="382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5"/>
      <c r="CA121" s="384"/>
      <c r="CB121" s="384"/>
      <c r="CC121" s="385"/>
      <c r="CD121" s="385"/>
      <c r="CE121" s="386"/>
      <c r="CF121" s="387"/>
      <c r="CG121" s="388">
        <f t="shared" si="134"/>
        <v>0.9166666666666666</v>
      </c>
      <c r="CH121" s="386">
        <f t="shared" si="130"/>
        <v>0.9166666666666666</v>
      </c>
      <c r="CI121" s="386">
        <f t="shared" si="131"/>
        <v>0.9166666666666666</v>
      </c>
      <c r="CJ121" s="387"/>
      <c r="CK121" s="388">
        <v>2.5</v>
      </c>
      <c r="CL121" s="386">
        <f t="shared" si="132"/>
        <v>3.4166666666666665</v>
      </c>
      <c r="CM121" s="386">
        <f t="shared" si="133"/>
        <v>3.4166666666666665</v>
      </c>
      <c r="CN121" s="389"/>
      <c r="CO121" s="387">
        <v>2.5</v>
      </c>
      <c r="CP121" s="386">
        <f t="shared" si="40"/>
        <v>5.916666666666666</v>
      </c>
      <c r="CQ121" s="198">
        <f t="shared" si="41"/>
        <v>5.916666666666666</v>
      </c>
      <c r="CR121" s="199">
        <v>0</v>
      </c>
      <c r="CS121" s="387">
        <v>2.5</v>
      </c>
      <c r="CT121" s="196">
        <f t="shared" si="42"/>
        <v>8.416666666666666</v>
      </c>
      <c r="CU121" s="390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86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86">
        <f t="shared" si="47"/>
        <v>13.416666666666666</v>
      </c>
      <c r="DD121" s="182">
        <v>2</v>
      </c>
      <c r="DE121" s="174">
        <v>2.5</v>
      </c>
      <c r="DF121" s="196">
        <f t="shared" si="136"/>
        <v>15.916666666666666</v>
      </c>
      <c r="DG121" s="386">
        <f t="shared" si="137"/>
        <v>13.916666666666666</v>
      </c>
      <c r="DH121" s="199">
        <v>10</v>
      </c>
      <c r="DI121" s="39">
        <v>12.5</v>
      </c>
      <c r="DJ121" s="196">
        <f t="shared" si="138"/>
        <v>26.416666666666664</v>
      </c>
      <c r="DK121" s="386">
        <f t="shared" si="139"/>
        <v>16.416666666666664</v>
      </c>
      <c r="DL121" s="199">
        <v>15</v>
      </c>
      <c r="DM121" s="39">
        <v>17.5</v>
      </c>
      <c r="DN121" s="196">
        <f t="shared" si="140"/>
        <v>33.916666666666664</v>
      </c>
      <c r="DO121" s="386">
        <f t="shared" si="141"/>
        <v>18.916666666666664</v>
      </c>
    </row>
    <row r="122" ht="14.25" customHeight="1" spans="1:119" s="377" customFormat="1" x14ac:dyDescent="0.25">
      <c r="A122" s="378" t="s">
        <v>303</v>
      </c>
      <c r="B122" s="379"/>
      <c r="C122" s="380" t="s">
        <v>1151</v>
      </c>
      <c r="D122" s="381" t="s">
        <v>1153</v>
      </c>
      <c r="E122" s="381" t="s">
        <v>899</v>
      </c>
      <c r="F122" s="382" t="s">
        <v>1391</v>
      </c>
      <c r="G122" s="383">
        <v>46132</v>
      </c>
      <c r="H122" s="382"/>
      <c r="I122" s="383">
        <v>46314</v>
      </c>
      <c r="J122" s="382"/>
      <c r="K122" s="382"/>
      <c r="L122" s="382"/>
      <c r="M122" s="382"/>
      <c r="N122" s="382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5"/>
      <c r="CA122" s="384"/>
      <c r="CB122" s="384"/>
      <c r="CC122" s="385"/>
      <c r="CD122" s="385"/>
      <c r="CE122" s="386"/>
      <c r="CF122" s="387"/>
      <c r="CG122" s="388">
        <f t="shared" si="134"/>
        <v>0.9166666666666666</v>
      </c>
      <c r="CH122" s="386">
        <f t="shared" si="130"/>
        <v>0.9166666666666666</v>
      </c>
      <c r="CI122" s="386">
        <f t="shared" si="131"/>
        <v>0.9166666666666666</v>
      </c>
      <c r="CJ122" s="387"/>
      <c r="CK122" s="388">
        <v>2.5</v>
      </c>
      <c r="CL122" s="386">
        <f t="shared" si="132"/>
        <v>3.4166666666666665</v>
      </c>
      <c r="CM122" s="386">
        <f t="shared" si="133"/>
        <v>3.4166666666666665</v>
      </c>
      <c r="CN122" s="389"/>
      <c r="CO122" s="387">
        <v>2.5</v>
      </c>
      <c r="CP122" s="386">
        <f t="shared" si="40"/>
        <v>5.916666666666666</v>
      </c>
      <c r="CQ122" s="198">
        <f t="shared" si="41"/>
        <v>5.916666666666666</v>
      </c>
      <c r="CR122" s="199">
        <v>0</v>
      </c>
      <c r="CS122" s="387">
        <v>2.5</v>
      </c>
      <c r="CT122" s="196">
        <f t="shared" si="42"/>
        <v>8.416666666666666</v>
      </c>
      <c r="CU122" s="390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86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86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86">
        <f t="shared" si="137"/>
        <v>15.916666666666666</v>
      </c>
      <c r="DH122" s="199">
        <v>10</v>
      </c>
      <c r="DI122" s="39">
        <v>12.5</v>
      </c>
      <c r="DJ122" s="196">
        <f t="shared" si="138"/>
        <v>28.416666666666664</v>
      </c>
      <c r="DK122" s="386">
        <f t="shared" si="139"/>
        <v>18.416666666666664</v>
      </c>
      <c r="DL122" s="199">
        <v>15</v>
      </c>
      <c r="DM122" s="39">
        <v>17.5</v>
      </c>
      <c r="DN122" s="196">
        <f t="shared" si="140"/>
        <v>35.916666666666664</v>
      </c>
      <c r="DO122" s="386">
        <f t="shared" si="141"/>
        <v>20.916666666666664</v>
      </c>
    </row>
    <row r="123" ht="14.25" customHeight="1" spans="1:119" s="165" customFormat="1" x14ac:dyDescent="0.25">
      <c r="A123" s="393" t="s">
        <v>271</v>
      </c>
      <c r="B123" s="394"/>
      <c r="C123" s="395" t="s">
        <v>1454</v>
      </c>
      <c r="D123" s="273" t="s">
        <v>1157</v>
      </c>
      <c r="E123" s="273" t="s">
        <v>899</v>
      </c>
      <c r="F123" s="274" t="s">
        <v>1391</v>
      </c>
      <c r="G123" s="170">
        <v>46132</v>
      </c>
      <c r="H123" s="274"/>
      <c r="I123" s="170">
        <v>46314</v>
      </c>
      <c r="J123" s="274"/>
      <c r="K123" s="274"/>
      <c r="L123" s="274"/>
      <c r="M123" s="274"/>
      <c r="N123" s="274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86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82">
        <v>10</v>
      </c>
      <c r="DI123" s="174">
        <v>12.5</v>
      </c>
      <c r="DJ123" s="179">
        <f t="shared" si="138"/>
        <v>21.416666666666664</v>
      </c>
      <c r="DK123" s="179">
        <f t="shared" si="139"/>
        <v>11.416666666666664</v>
      </c>
      <c r="DL123" s="182">
        <v>15</v>
      </c>
      <c r="DM123" s="174">
        <v>17.5</v>
      </c>
      <c r="DN123" s="179">
        <f t="shared" si="140"/>
        <v>28.916666666666664</v>
      </c>
      <c r="DO123" s="179">
        <f t="shared" si="141"/>
        <v>13.916666666666664</v>
      </c>
    </row>
    <row r="124" ht="14.25" customHeight="1" hidden="1" spans="1:119" s="377" customFormat="1" x14ac:dyDescent="0.25">
      <c r="A124" s="378" t="s">
        <v>1158</v>
      </c>
      <c r="B124" s="379"/>
      <c r="C124" s="380" t="s">
        <v>1455</v>
      </c>
      <c r="D124" s="381" t="s">
        <v>1160</v>
      </c>
      <c r="E124" s="381" t="s">
        <v>899</v>
      </c>
      <c r="F124" s="382" t="s">
        <v>1391</v>
      </c>
      <c r="G124" s="383">
        <v>46132</v>
      </c>
      <c r="H124" s="382"/>
      <c r="I124" s="383">
        <v>46314</v>
      </c>
      <c r="J124" s="382"/>
      <c r="K124" s="382"/>
      <c r="L124" s="382"/>
      <c r="M124" s="382"/>
      <c r="N124" s="382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5"/>
      <c r="CA124" s="384"/>
      <c r="CB124" s="384"/>
      <c r="CC124" s="385"/>
      <c r="CD124" s="385"/>
      <c r="CE124" s="386"/>
      <c r="CF124" s="387"/>
      <c r="CG124" s="388">
        <f t="shared" si="134"/>
        <v>0.9166666666666666</v>
      </c>
      <c r="CH124" s="386">
        <f t="shared" si="130"/>
        <v>0.9166666666666666</v>
      </c>
      <c r="CI124" s="386">
        <f t="shared" si="131"/>
        <v>0.9166666666666666</v>
      </c>
      <c r="CJ124" s="387"/>
      <c r="CK124" s="388">
        <v>2.5</v>
      </c>
      <c r="CL124" s="386">
        <f t="shared" si="132"/>
        <v>3.4166666666666665</v>
      </c>
      <c r="CM124" s="386">
        <f t="shared" si="133"/>
        <v>3.4166666666666665</v>
      </c>
      <c r="CN124" s="389"/>
      <c r="CO124" s="387">
        <v>2.5</v>
      </c>
      <c r="CP124" s="386">
        <f t="shared" si="40"/>
        <v>5.916666666666666</v>
      </c>
      <c r="CQ124" s="198">
        <f t="shared" si="41"/>
        <v>5.916666666666666</v>
      </c>
      <c r="CR124" s="199">
        <v>0</v>
      </c>
      <c r="CS124" s="387">
        <v>2.5</v>
      </c>
      <c r="CT124" s="196">
        <f t="shared" si="42"/>
        <v>8.416666666666666</v>
      </c>
      <c r="CU124" s="390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86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86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86">
        <f t="shared" si="137"/>
        <v>15.916666666666666</v>
      </c>
      <c r="DH124" s="199">
        <v>10</v>
      </c>
      <c r="DI124" s="39">
        <v>12.5</v>
      </c>
      <c r="DJ124" s="196">
        <f t="shared" si="138"/>
        <v>28.416666666666664</v>
      </c>
      <c r="DK124" s="386">
        <f t="shared" si="139"/>
        <v>18.416666666666664</v>
      </c>
      <c r="DL124" s="199">
        <v>15</v>
      </c>
      <c r="DM124" s="39">
        <v>17.5</v>
      </c>
      <c r="DN124" s="196">
        <f t="shared" si="140"/>
        <v>35.916666666666664</v>
      </c>
      <c r="DO124" s="386">
        <f t="shared" si="141"/>
        <v>20.916666666666664</v>
      </c>
    </row>
    <row r="125" ht="14.25" customHeight="1" spans="1:119" s="377" customFormat="1" x14ac:dyDescent="0.25">
      <c r="A125" s="378" t="s">
        <v>281</v>
      </c>
      <c r="B125" s="379"/>
      <c r="C125" s="380" t="s">
        <v>1456</v>
      </c>
      <c r="D125" s="381" t="s">
        <v>1162</v>
      </c>
      <c r="E125" s="381" t="s">
        <v>899</v>
      </c>
      <c r="F125" s="382" t="s">
        <v>1391</v>
      </c>
      <c r="G125" s="383">
        <v>46132</v>
      </c>
      <c r="H125" s="382"/>
      <c r="I125" s="383">
        <v>46314</v>
      </c>
      <c r="J125" s="382"/>
      <c r="K125" s="382"/>
      <c r="L125" s="382"/>
      <c r="M125" s="382"/>
      <c r="N125" s="382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5"/>
      <c r="CA125" s="384"/>
      <c r="CB125" s="384"/>
      <c r="CC125" s="385"/>
      <c r="CD125" s="385"/>
      <c r="CE125" s="386"/>
      <c r="CF125" s="387"/>
      <c r="CG125" s="388">
        <f t="shared" si="134"/>
        <v>0.9166666666666666</v>
      </c>
      <c r="CH125" s="386">
        <f t="shared" si="130"/>
        <v>0.9166666666666666</v>
      </c>
      <c r="CI125" s="386">
        <f t="shared" si="131"/>
        <v>0.9166666666666666</v>
      </c>
      <c r="CJ125" s="387"/>
      <c r="CK125" s="388">
        <v>2.5</v>
      </c>
      <c r="CL125" s="386">
        <f t="shared" si="132"/>
        <v>3.4166666666666665</v>
      </c>
      <c r="CM125" s="386">
        <f t="shared" si="133"/>
        <v>3.4166666666666665</v>
      </c>
      <c r="CN125" s="389"/>
      <c r="CO125" s="387">
        <v>2.5</v>
      </c>
      <c r="CP125" s="386">
        <f t="shared" si="40"/>
        <v>5.916666666666666</v>
      </c>
      <c r="CQ125" s="198">
        <f t="shared" si="41"/>
        <v>5.916666666666666</v>
      </c>
      <c r="CR125" s="199">
        <v>0</v>
      </c>
      <c r="CS125" s="387">
        <v>2.5</v>
      </c>
      <c r="CT125" s="196">
        <f t="shared" si="42"/>
        <v>8.416666666666666</v>
      </c>
      <c r="CU125" s="390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86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86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86">
        <f t="shared" si="137"/>
        <v>15.916666666666666</v>
      </c>
      <c r="DH125" s="199">
        <v>10</v>
      </c>
      <c r="DI125" s="39">
        <v>12.5</v>
      </c>
      <c r="DJ125" s="196">
        <f t="shared" si="138"/>
        <v>28.416666666666664</v>
      </c>
      <c r="DK125" s="386">
        <f t="shared" si="139"/>
        <v>18.416666666666664</v>
      </c>
      <c r="DL125" s="199">
        <v>15</v>
      </c>
      <c r="DM125" s="39">
        <v>17.5</v>
      </c>
      <c r="DN125" s="196">
        <f t="shared" si="140"/>
        <v>35.916666666666664</v>
      </c>
      <c r="DO125" s="386">
        <f t="shared" si="141"/>
        <v>20.916666666666664</v>
      </c>
    </row>
    <row r="126" ht="14.25" customHeight="1" spans="1:119" s="377" customFormat="1" x14ac:dyDescent="0.25">
      <c r="A126" s="378" t="s">
        <v>284</v>
      </c>
      <c r="B126" s="379"/>
      <c r="C126" s="380" t="s">
        <v>1457</v>
      </c>
      <c r="D126" s="381" t="s">
        <v>1164</v>
      </c>
      <c r="E126" s="381" t="s">
        <v>899</v>
      </c>
      <c r="F126" s="382" t="s">
        <v>1391</v>
      </c>
      <c r="G126" s="383">
        <v>46132</v>
      </c>
      <c r="H126" s="382"/>
      <c r="I126" s="383">
        <v>46314</v>
      </c>
      <c r="J126" s="382"/>
      <c r="K126" s="382"/>
      <c r="L126" s="382"/>
      <c r="M126" s="382"/>
      <c r="N126" s="382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5"/>
      <c r="CA126" s="384"/>
      <c r="CB126" s="384"/>
      <c r="CC126" s="385"/>
      <c r="CD126" s="385"/>
      <c r="CE126" s="386"/>
      <c r="CF126" s="387"/>
      <c r="CG126" s="388">
        <f t="shared" si="134"/>
        <v>0.9166666666666666</v>
      </c>
      <c r="CH126" s="386">
        <f t="shared" si="130"/>
        <v>0.9166666666666666</v>
      </c>
      <c r="CI126" s="386">
        <f t="shared" si="131"/>
        <v>0.9166666666666666</v>
      </c>
      <c r="CJ126" s="387"/>
      <c r="CK126" s="388">
        <v>2.5</v>
      </c>
      <c r="CL126" s="386">
        <f t="shared" si="132"/>
        <v>3.4166666666666665</v>
      </c>
      <c r="CM126" s="386">
        <f t="shared" si="133"/>
        <v>3.4166666666666665</v>
      </c>
      <c r="CN126" s="389"/>
      <c r="CO126" s="387">
        <v>2.5</v>
      </c>
      <c r="CP126" s="386">
        <f t="shared" si="40"/>
        <v>5.916666666666666</v>
      </c>
      <c r="CQ126" s="198">
        <f t="shared" si="41"/>
        <v>5.916666666666666</v>
      </c>
      <c r="CR126" s="199">
        <v>0</v>
      </c>
      <c r="CS126" s="387">
        <v>2.5</v>
      </c>
      <c r="CT126" s="196">
        <f t="shared" si="42"/>
        <v>8.416666666666666</v>
      </c>
      <c r="CU126" s="390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86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86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86">
        <f t="shared" si="137"/>
        <v>15.916666666666666</v>
      </c>
      <c r="DH126" s="199">
        <v>10</v>
      </c>
      <c r="DI126" s="39">
        <v>12.5</v>
      </c>
      <c r="DJ126" s="196">
        <f t="shared" si="138"/>
        <v>28.416666666666664</v>
      </c>
      <c r="DK126" s="386">
        <f t="shared" si="139"/>
        <v>18.416666666666664</v>
      </c>
      <c r="DL126" s="199">
        <v>15</v>
      </c>
      <c r="DM126" s="39">
        <v>17.5</v>
      </c>
      <c r="DN126" s="196">
        <f t="shared" si="140"/>
        <v>35.916666666666664</v>
      </c>
      <c r="DO126" s="386">
        <f t="shared" si="141"/>
        <v>20.916666666666664</v>
      </c>
    </row>
    <row r="127" ht="14.25" customHeight="1" spans="1:119" s="165" customFormat="1" x14ac:dyDescent="0.25">
      <c r="A127" s="393" t="s">
        <v>287</v>
      </c>
      <c r="B127" s="394"/>
      <c r="C127" s="395" t="s">
        <v>1458</v>
      </c>
      <c r="D127" s="273" t="s">
        <v>1166</v>
      </c>
      <c r="E127" s="273" t="s">
        <v>899</v>
      </c>
      <c r="F127" s="274" t="s">
        <v>1391</v>
      </c>
      <c r="G127" s="170">
        <v>46132</v>
      </c>
      <c r="H127" s="274"/>
      <c r="I127" s="170">
        <v>46314</v>
      </c>
      <c r="J127" s="274"/>
      <c r="K127" s="274"/>
      <c r="L127" s="274"/>
      <c r="M127" s="274"/>
      <c r="N127" s="274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86">
        <f t="shared" si="47"/>
        <v>-1.583333333333334</v>
      </c>
      <c r="DD127" s="182">
        <v>1</v>
      </c>
      <c r="DE127" s="174">
        <v>2.5</v>
      </c>
      <c r="DF127" s="179">
        <f t="shared" si="136"/>
        <v>0.9166666666666661</v>
      </c>
      <c r="DG127" s="179">
        <f t="shared" si="137"/>
        <v>-0.08333333333333393</v>
      </c>
      <c r="DH127" s="182">
        <v>10</v>
      </c>
      <c r="DI127" s="174">
        <v>12.5</v>
      </c>
      <c r="DJ127" s="179">
        <f t="shared" si="138"/>
        <v>12.416666666666666</v>
      </c>
      <c r="DK127" s="179">
        <f t="shared" si="139"/>
        <v>2.416666666666666</v>
      </c>
      <c r="DL127" s="182">
        <v>15</v>
      </c>
      <c r="DM127" s="174">
        <v>17.5</v>
      </c>
      <c r="DN127" s="179">
        <f t="shared" si="140"/>
        <v>19.916666666666664</v>
      </c>
      <c r="DO127" s="179">
        <f t="shared" si="141"/>
        <v>4.916666666666664</v>
      </c>
    </row>
    <row r="128" ht="14.25" customHeight="1" spans="1:119" s="377" customFormat="1" x14ac:dyDescent="0.25">
      <c r="A128" s="378" t="s">
        <v>291</v>
      </c>
      <c r="B128" s="379"/>
      <c r="C128" s="380" t="s">
        <v>1459</v>
      </c>
      <c r="D128" s="381" t="s">
        <v>1168</v>
      </c>
      <c r="E128" s="381" t="s">
        <v>899</v>
      </c>
      <c r="F128" s="382" t="s">
        <v>1391</v>
      </c>
      <c r="G128" s="383">
        <v>46132</v>
      </c>
      <c r="H128" s="382"/>
      <c r="I128" s="383">
        <v>46314</v>
      </c>
      <c r="J128" s="382"/>
      <c r="K128" s="382"/>
      <c r="L128" s="382"/>
      <c r="M128" s="382"/>
      <c r="N128" s="382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5"/>
      <c r="CA128" s="384"/>
      <c r="CB128" s="384"/>
      <c r="CC128" s="385"/>
      <c r="CD128" s="385"/>
      <c r="CE128" s="386"/>
      <c r="CF128" s="387"/>
      <c r="CG128" s="388">
        <f t="shared" si="134"/>
        <v>0.9166666666666666</v>
      </c>
      <c r="CH128" s="386">
        <f t="shared" si="130"/>
        <v>0.9166666666666666</v>
      </c>
      <c r="CI128" s="386">
        <f t="shared" si="131"/>
        <v>0.9166666666666666</v>
      </c>
      <c r="CJ128" s="387"/>
      <c r="CK128" s="388">
        <v>2.5</v>
      </c>
      <c r="CL128" s="386">
        <f t="shared" si="132"/>
        <v>3.4166666666666665</v>
      </c>
      <c r="CM128" s="386">
        <f t="shared" si="133"/>
        <v>3.4166666666666665</v>
      </c>
      <c r="CN128" s="389"/>
      <c r="CO128" s="387">
        <v>2.5</v>
      </c>
      <c r="CP128" s="386">
        <f t="shared" si="40"/>
        <v>5.916666666666666</v>
      </c>
      <c r="CQ128" s="198">
        <f t="shared" si="41"/>
        <v>5.916666666666666</v>
      </c>
      <c r="CR128" s="199">
        <v>0</v>
      </c>
      <c r="CS128" s="387">
        <v>2.5</v>
      </c>
      <c r="CT128" s="196">
        <f t="shared" si="42"/>
        <v>8.416666666666666</v>
      </c>
      <c r="CU128" s="390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86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86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86">
        <f t="shared" si="137"/>
        <v>15.916666666666666</v>
      </c>
      <c r="DH128" s="199">
        <v>10</v>
      </c>
      <c r="DI128" s="39">
        <v>12.5</v>
      </c>
      <c r="DJ128" s="196">
        <f t="shared" si="138"/>
        <v>28.416666666666664</v>
      </c>
      <c r="DK128" s="386">
        <f t="shared" si="139"/>
        <v>18.416666666666664</v>
      </c>
      <c r="DL128" s="199">
        <v>15</v>
      </c>
      <c r="DM128" s="39">
        <v>17.5</v>
      </c>
      <c r="DN128" s="196">
        <f t="shared" si="140"/>
        <v>35.916666666666664</v>
      </c>
      <c r="DO128" s="386">
        <f t="shared" si="141"/>
        <v>20.916666666666664</v>
      </c>
    </row>
    <row r="129" ht="14.25" customHeight="1" spans="1:119" s="165" customFormat="1" x14ac:dyDescent="0.25">
      <c r="A129" s="393" t="s">
        <v>294</v>
      </c>
      <c r="B129" s="394"/>
      <c r="C129" s="395" t="s">
        <v>1460</v>
      </c>
      <c r="D129" s="273" t="s">
        <v>1170</v>
      </c>
      <c r="E129" s="273" t="s">
        <v>899</v>
      </c>
      <c r="F129" s="274" t="s">
        <v>1391</v>
      </c>
      <c r="G129" s="170">
        <v>46132</v>
      </c>
      <c r="H129" s="274"/>
      <c r="I129" s="170">
        <v>46314</v>
      </c>
      <c r="J129" s="274"/>
      <c r="K129" s="274"/>
      <c r="L129" s="274"/>
      <c r="M129" s="274"/>
      <c r="N129" s="274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86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82">
        <v>10</v>
      </c>
      <c r="DI129" s="174">
        <v>12.5</v>
      </c>
      <c r="DJ129" s="179">
        <f t="shared" si="138"/>
        <v>27.416666666666664</v>
      </c>
      <c r="DK129" s="179">
        <f t="shared" si="139"/>
        <v>17.416666666666664</v>
      </c>
      <c r="DL129" s="182">
        <v>15</v>
      </c>
      <c r="DM129" s="174">
        <v>17.5</v>
      </c>
      <c r="DN129" s="179">
        <f t="shared" si="140"/>
        <v>34.916666666666664</v>
      </c>
      <c r="DO129" s="179">
        <f t="shared" si="141"/>
        <v>19.916666666666664</v>
      </c>
    </row>
    <row r="130" ht="14.25" customHeight="1" spans="1:119" s="165" customFormat="1" x14ac:dyDescent="0.25">
      <c r="A130" s="393" t="s">
        <v>154</v>
      </c>
      <c r="B130" s="394"/>
      <c r="C130" s="395" t="s">
        <v>1461</v>
      </c>
      <c r="D130" s="273" t="s">
        <v>1172</v>
      </c>
      <c r="E130" s="273" t="s">
        <v>114</v>
      </c>
      <c r="F130" s="274" t="s">
        <v>1391</v>
      </c>
      <c r="G130" s="170">
        <v>46132</v>
      </c>
      <c r="H130" s="274"/>
      <c r="I130" s="170">
        <v>46314</v>
      </c>
      <c r="J130" s="274"/>
      <c r="K130" s="274"/>
      <c r="L130" s="274"/>
      <c r="M130" s="274"/>
      <c r="N130" s="274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86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82">
        <v>10</v>
      </c>
      <c r="DI130" s="174">
        <v>12.5</v>
      </c>
      <c r="DJ130" s="179">
        <f t="shared" si="138"/>
        <v>20.416666666666664</v>
      </c>
      <c r="DK130" s="179">
        <f t="shared" si="139"/>
        <v>10.416666666666664</v>
      </c>
      <c r="DL130" s="182">
        <v>15</v>
      </c>
      <c r="DM130" s="174">
        <v>17.5</v>
      </c>
      <c r="DN130" s="179">
        <f t="shared" si="140"/>
        <v>27.916666666666664</v>
      </c>
      <c r="DO130" s="179">
        <f t="shared" si="141"/>
        <v>12.916666666666664</v>
      </c>
    </row>
    <row r="131" ht="14.25" customHeight="1" spans="1:119" s="240" customFormat="1" x14ac:dyDescent="0.25">
      <c r="A131" s="396" t="s">
        <v>157</v>
      </c>
      <c r="B131" s="397"/>
      <c r="C131" s="398" t="s">
        <v>1462</v>
      </c>
      <c r="D131" s="244" t="s">
        <v>1174</v>
      </c>
      <c r="E131" s="244" t="s">
        <v>114</v>
      </c>
      <c r="F131" s="245" t="s">
        <v>1391</v>
      </c>
      <c r="G131" s="246">
        <v>46132</v>
      </c>
      <c r="H131" s="245"/>
      <c r="I131" s="246">
        <v>46314</v>
      </c>
      <c r="J131" s="245"/>
      <c r="K131" s="245"/>
      <c r="L131" s="245"/>
      <c r="M131" s="245"/>
      <c r="N131" s="245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  <c r="AA131" s="247"/>
      <c r="AB131" s="247"/>
      <c r="AC131" s="247"/>
      <c r="AD131" s="247"/>
      <c r="AE131" s="247"/>
      <c r="AF131" s="247"/>
      <c r="AG131" s="247"/>
      <c r="AH131" s="247"/>
      <c r="AI131" s="247"/>
      <c r="AJ131" s="247"/>
      <c r="AK131" s="247"/>
      <c r="AL131" s="247"/>
      <c r="AM131" s="247"/>
      <c r="AN131" s="247"/>
      <c r="AO131" s="247"/>
      <c r="AP131" s="247"/>
      <c r="AQ131" s="247"/>
      <c r="AR131" s="247"/>
      <c r="AS131" s="247"/>
      <c r="AT131" s="247"/>
      <c r="AU131" s="247"/>
      <c r="AV131" s="247"/>
      <c r="AW131" s="247"/>
      <c r="AX131" s="247"/>
      <c r="AY131" s="247"/>
      <c r="AZ131" s="247"/>
      <c r="BA131" s="247"/>
      <c r="BB131" s="247"/>
      <c r="BC131" s="247"/>
      <c r="BD131" s="247"/>
      <c r="BE131" s="247"/>
      <c r="BF131" s="247"/>
      <c r="BG131" s="247"/>
      <c r="BH131" s="247"/>
      <c r="BI131" s="247"/>
      <c r="BJ131" s="247"/>
      <c r="BK131" s="247"/>
      <c r="BL131" s="247"/>
      <c r="BM131" s="247"/>
      <c r="BN131" s="247"/>
      <c r="BO131" s="247"/>
      <c r="BP131" s="247"/>
      <c r="BQ131" s="247"/>
      <c r="BR131" s="247"/>
      <c r="BS131" s="247"/>
      <c r="BT131" s="247"/>
      <c r="BU131" s="247"/>
      <c r="BV131" s="247"/>
      <c r="BW131" s="247"/>
      <c r="BX131" s="247"/>
      <c r="BY131" s="247"/>
      <c r="BZ131" s="249"/>
      <c r="CA131" s="247"/>
      <c r="CB131" s="247"/>
      <c r="CC131" s="249"/>
      <c r="CD131" s="249"/>
      <c r="CE131" s="250"/>
      <c r="CF131" s="251"/>
      <c r="CG131" s="253">
        <f t="shared" si="134"/>
        <v>0.9166666666666666</v>
      </c>
      <c r="CH131" s="250">
        <f t="shared" si="130"/>
        <v>0.9166666666666666</v>
      </c>
      <c r="CI131" s="250">
        <f t="shared" si="131"/>
        <v>0.9166666666666666</v>
      </c>
      <c r="CJ131" s="251"/>
      <c r="CK131" s="253">
        <v>2.5</v>
      </c>
      <c r="CL131" s="250">
        <f t="shared" si="132"/>
        <v>3.4166666666666665</v>
      </c>
      <c r="CM131" s="250">
        <f t="shared" si="133"/>
        <v>3.4166666666666665</v>
      </c>
      <c r="CN131" s="252">
        <v>5</v>
      </c>
      <c r="CO131" s="251">
        <v>2.5</v>
      </c>
      <c r="CP131" s="250">
        <f t="shared" si="40"/>
        <v>5.916666666666666</v>
      </c>
      <c r="CQ131" s="250">
        <f t="shared" si="41"/>
        <v>0.9166666666666661</v>
      </c>
      <c r="CR131" s="253">
        <v>0</v>
      </c>
      <c r="CS131" s="251">
        <v>2.5</v>
      </c>
      <c r="CT131" s="250">
        <f t="shared" si="42"/>
        <v>3.416666666666666</v>
      </c>
      <c r="CU131" s="254">
        <f t="shared" si="43"/>
        <v>3.416666666666666</v>
      </c>
      <c r="CV131" s="253">
        <v>0</v>
      </c>
      <c r="CW131" s="251">
        <v>2.5</v>
      </c>
      <c r="CX131" s="250">
        <f t="shared" si="135"/>
        <v>5.916666666666666</v>
      </c>
      <c r="CY131" s="250">
        <f t="shared" si="45"/>
        <v>5.916666666666666</v>
      </c>
      <c r="CZ131" s="253">
        <v>0</v>
      </c>
      <c r="DA131" s="251">
        <v>2.5</v>
      </c>
      <c r="DB131" s="250">
        <f t="shared" si="46"/>
        <v>8.416666666666666</v>
      </c>
      <c r="DC131" s="386">
        <f t="shared" si="47"/>
        <v>8.416666666666666</v>
      </c>
      <c r="DD131" s="182">
        <v>0</v>
      </c>
      <c r="DE131" s="174">
        <v>2.5</v>
      </c>
      <c r="DF131" s="250">
        <f t="shared" si="136"/>
        <v>10.916666666666666</v>
      </c>
      <c r="DG131" s="250">
        <f t="shared" si="137"/>
        <v>10.916666666666666</v>
      </c>
      <c r="DH131" s="253">
        <v>10</v>
      </c>
      <c r="DI131" s="251">
        <v>12.5</v>
      </c>
      <c r="DJ131" s="250">
        <f t="shared" si="138"/>
        <v>23.416666666666664</v>
      </c>
      <c r="DK131" s="250">
        <f t="shared" si="139"/>
        <v>13.416666666666664</v>
      </c>
      <c r="DL131" s="253">
        <v>15</v>
      </c>
      <c r="DM131" s="251">
        <v>17.5</v>
      </c>
      <c r="DN131" s="250">
        <f t="shared" si="140"/>
        <v>30.916666666666664</v>
      </c>
      <c r="DO131" s="250">
        <f t="shared" si="141"/>
        <v>15.916666666666664</v>
      </c>
    </row>
    <row r="132" ht="14.25" customHeight="1" spans="1:119" s="377" customFormat="1" x14ac:dyDescent="0.25">
      <c r="A132" s="378" t="s">
        <v>160</v>
      </c>
      <c r="B132" s="379"/>
      <c r="C132" s="380" t="s">
        <v>1175</v>
      </c>
      <c r="D132" s="381" t="s">
        <v>1463</v>
      </c>
      <c r="E132" s="381" t="s">
        <v>114</v>
      </c>
      <c r="F132" s="382" t="s">
        <v>1391</v>
      </c>
      <c r="G132" s="383">
        <v>46132</v>
      </c>
      <c r="H132" s="382"/>
      <c r="I132" s="383">
        <v>46314</v>
      </c>
      <c r="J132" s="382"/>
      <c r="K132" s="382"/>
      <c r="L132" s="382"/>
      <c r="M132" s="382"/>
      <c r="N132" s="382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5"/>
      <c r="CA132" s="384"/>
      <c r="CB132" s="384"/>
      <c r="CC132" s="385"/>
      <c r="CD132" s="385"/>
      <c r="CE132" s="386"/>
      <c r="CF132" s="387"/>
      <c r="CG132" s="388">
        <f t="shared" si="134"/>
        <v>0.9166666666666666</v>
      </c>
      <c r="CH132" s="386">
        <f t="shared" si="130"/>
        <v>0.9166666666666666</v>
      </c>
      <c r="CI132" s="386">
        <f t="shared" si="131"/>
        <v>0.9166666666666666</v>
      </c>
      <c r="CJ132" s="387"/>
      <c r="CK132" s="388">
        <v>2.5</v>
      </c>
      <c r="CL132" s="386">
        <f t="shared" si="132"/>
        <v>3.4166666666666665</v>
      </c>
      <c r="CM132" s="386">
        <f t="shared" si="133"/>
        <v>3.4166666666666665</v>
      </c>
      <c r="CN132" s="389"/>
      <c r="CO132" s="387">
        <v>2.5</v>
      </c>
      <c r="CP132" s="386">
        <f t="shared" si="40"/>
        <v>5.916666666666666</v>
      </c>
      <c r="CQ132" s="198">
        <f t="shared" si="41"/>
        <v>5.916666666666666</v>
      </c>
      <c r="CR132" s="199">
        <v>0</v>
      </c>
      <c r="CS132" s="387">
        <v>2.5</v>
      </c>
      <c r="CT132" s="196">
        <f t="shared" si="42"/>
        <v>8.416666666666666</v>
      </c>
      <c r="CU132" s="390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86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86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86">
        <f t="shared" si="137"/>
        <v>15.916666666666666</v>
      </c>
      <c r="DH132" s="199">
        <v>10</v>
      </c>
      <c r="DI132" s="39">
        <v>12.5</v>
      </c>
      <c r="DJ132" s="196">
        <f t="shared" si="138"/>
        <v>28.416666666666664</v>
      </c>
      <c r="DK132" s="386">
        <f t="shared" si="139"/>
        <v>18.416666666666664</v>
      </c>
      <c r="DL132" s="199">
        <v>15</v>
      </c>
      <c r="DM132" s="39">
        <v>17.5</v>
      </c>
      <c r="DN132" s="196">
        <f t="shared" si="140"/>
        <v>35.916666666666664</v>
      </c>
      <c r="DO132" s="386">
        <f t="shared" si="141"/>
        <v>20.916666666666664</v>
      </c>
    </row>
    <row r="133" ht="14.25" customHeight="1" spans="1:119" s="377" customFormat="1" x14ac:dyDescent="0.25">
      <c r="A133" s="378" t="s">
        <v>163</v>
      </c>
      <c r="B133" s="379"/>
      <c r="C133" s="380" t="s">
        <v>1120</v>
      </c>
      <c r="D133" s="381" t="s">
        <v>1177</v>
      </c>
      <c r="E133" s="381" t="s">
        <v>114</v>
      </c>
      <c r="F133" s="382" t="s">
        <v>1391</v>
      </c>
      <c r="G133" s="383">
        <v>46132</v>
      </c>
      <c r="H133" s="382"/>
      <c r="I133" s="383">
        <v>46314</v>
      </c>
      <c r="J133" s="382"/>
      <c r="K133" s="382"/>
      <c r="L133" s="382"/>
      <c r="M133" s="382"/>
      <c r="N133" s="382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5"/>
      <c r="CA133" s="384"/>
      <c r="CB133" s="384"/>
      <c r="CC133" s="385"/>
      <c r="CD133" s="385"/>
      <c r="CE133" s="386"/>
      <c r="CF133" s="387"/>
      <c r="CG133" s="388">
        <f t="shared" si="134"/>
        <v>0.9166666666666666</v>
      </c>
      <c r="CH133" s="386">
        <f t="shared" si="130"/>
        <v>0.9166666666666666</v>
      </c>
      <c r="CI133" s="386">
        <f t="shared" si="131"/>
        <v>0.9166666666666666</v>
      </c>
      <c r="CJ133" s="387"/>
      <c r="CK133" s="388">
        <v>2.5</v>
      </c>
      <c r="CL133" s="386">
        <f t="shared" si="132"/>
        <v>3.4166666666666665</v>
      </c>
      <c r="CM133" s="386">
        <f t="shared" si="133"/>
        <v>3.4166666666666665</v>
      </c>
      <c r="CN133" s="389"/>
      <c r="CO133" s="387">
        <v>2.5</v>
      </c>
      <c r="CP133" s="386">
        <f t="shared" si="40"/>
        <v>5.916666666666666</v>
      </c>
      <c r="CQ133" s="198">
        <f t="shared" si="41"/>
        <v>5.916666666666666</v>
      </c>
      <c r="CR133" s="199">
        <v>0</v>
      </c>
      <c r="CS133" s="387">
        <v>2.5</v>
      </c>
      <c r="CT133" s="196">
        <f t="shared" si="42"/>
        <v>8.416666666666666</v>
      </c>
      <c r="CU133" s="390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86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86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86">
        <f t="shared" si="137"/>
        <v>15.916666666666666</v>
      </c>
      <c r="DH133" s="199">
        <v>10</v>
      </c>
      <c r="DI133" s="39">
        <v>12.5</v>
      </c>
      <c r="DJ133" s="196">
        <f t="shared" si="138"/>
        <v>28.416666666666664</v>
      </c>
      <c r="DK133" s="386">
        <f t="shared" si="139"/>
        <v>18.416666666666664</v>
      </c>
      <c r="DL133" s="199">
        <v>15</v>
      </c>
      <c r="DM133" s="39">
        <v>17.5</v>
      </c>
      <c r="DN133" s="196">
        <f t="shared" si="140"/>
        <v>35.916666666666664</v>
      </c>
      <c r="DO133" s="386">
        <f t="shared" si="141"/>
        <v>20.916666666666664</v>
      </c>
    </row>
    <row r="134" ht="14.25" customHeight="1" spans="1:119" s="377" customFormat="1" x14ac:dyDescent="0.25">
      <c r="A134" s="378" t="s">
        <v>166</v>
      </c>
      <c r="B134" s="379"/>
      <c r="C134" s="380" t="s">
        <v>1464</v>
      </c>
      <c r="D134" s="381" t="s">
        <v>1179</v>
      </c>
      <c r="E134" s="381" t="s">
        <v>114</v>
      </c>
      <c r="F134" s="382" t="s">
        <v>1391</v>
      </c>
      <c r="G134" s="383">
        <v>46132</v>
      </c>
      <c r="H134" s="382"/>
      <c r="I134" s="383">
        <v>46314</v>
      </c>
      <c r="J134" s="382"/>
      <c r="K134" s="382"/>
      <c r="L134" s="382"/>
      <c r="M134" s="382"/>
      <c r="N134" s="382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5"/>
      <c r="CA134" s="384"/>
      <c r="CB134" s="384"/>
      <c r="CC134" s="385"/>
      <c r="CD134" s="385"/>
      <c r="CE134" s="386"/>
      <c r="CF134" s="387"/>
      <c r="CG134" s="388">
        <f t="shared" si="134"/>
        <v>0.9166666666666666</v>
      </c>
      <c r="CH134" s="386">
        <f t="shared" si="130"/>
        <v>0.9166666666666666</v>
      </c>
      <c r="CI134" s="386">
        <f t="shared" si="131"/>
        <v>0.9166666666666666</v>
      </c>
      <c r="CJ134" s="387"/>
      <c r="CK134" s="388">
        <v>2.5</v>
      </c>
      <c r="CL134" s="386">
        <f t="shared" si="132"/>
        <v>3.4166666666666665</v>
      </c>
      <c r="CM134" s="386">
        <f t="shared" si="133"/>
        <v>3.4166666666666665</v>
      </c>
      <c r="CN134" s="389"/>
      <c r="CO134" s="387">
        <v>2.5</v>
      </c>
      <c r="CP134" s="386">
        <f t="shared" si="40"/>
        <v>5.916666666666666</v>
      </c>
      <c r="CQ134" s="198">
        <f t="shared" si="41"/>
        <v>5.916666666666666</v>
      </c>
      <c r="CR134" s="199">
        <v>0</v>
      </c>
      <c r="CS134" s="387">
        <v>2.5</v>
      </c>
      <c r="CT134" s="196">
        <f t="shared" si="42"/>
        <v>8.416666666666666</v>
      </c>
      <c r="CU134" s="390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86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86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86">
        <f t="shared" si="137"/>
        <v>15.916666666666666</v>
      </c>
      <c r="DH134" s="199">
        <v>10</v>
      </c>
      <c r="DI134" s="39">
        <v>12.5</v>
      </c>
      <c r="DJ134" s="196">
        <f t="shared" si="138"/>
        <v>28.416666666666664</v>
      </c>
      <c r="DK134" s="386">
        <f t="shared" si="139"/>
        <v>18.416666666666664</v>
      </c>
      <c r="DL134" s="199">
        <v>15</v>
      </c>
      <c r="DM134" s="39">
        <v>17.5</v>
      </c>
      <c r="DN134" s="196">
        <f t="shared" si="140"/>
        <v>35.916666666666664</v>
      </c>
      <c r="DO134" s="386">
        <f t="shared" si="141"/>
        <v>20.916666666666664</v>
      </c>
    </row>
    <row r="135" ht="14.25" customHeight="1" spans="1:119" s="377" customFormat="1" x14ac:dyDescent="0.25">
      <c r="A135" s="378" t="s">
        <v>169</v>
      </c>
      <c r="B135" s="379"/>
      <c r="C135" s="380" t="s">
        <v>1465</v>
      </c>
      <c r="D135" s="381" t="s">
        <v>1181</v>
      </c>
      <c r="E135" s="381" t="s">
        <v>114</v>
      </c>
      <c r="F135" s="382" t="s">
        <v>1391</v>
      </c>
      <c r="G135" s="383">
        <v>46132</v>
      </c>
      <c r="H135" s="382"/>
      <c r="I135" s="383">
        <v>46314</v>
      </c>
      <c r="J135" s="382"/>
      <c r="K135" s="382"/>
      <c r="L135" s="382"/>
      <c r="M135" s="382"/>
      <c r="N135" s="382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4"/>
      <c r="BI135" s="384"/>
      <c r="BJ135" s="384"/>
      <c r="BK135" s="384"/>
      <c r="BL135" s="384"/>
      <c r="BM135" s="384"/>
      <c r="BN135" s="384"/>
      <c r="BO135" s="384"/>
      <c r="BP135" s="384"/>
      <c r="BQ135" s="384"/>
      <c r="BR135" s="384"/>
      <c r="BS135" s="384"/>
      <c r="BT135" s="384"/>
      <c r="BU135" s="384"/>
      <c r="BV135" s="384"/>
      <c r="BW135" s="384"/>
      <c r="BX135" s="384"/>
      <c r="BY135" s="384"/>
      <c r="BZ135" s="385"/>
      <c r="CA135" s="384"/>
      <c r="CB135" s="384"/>
      <c r="CC135" s="385"/>
      <c r="CD135" s="385"/>
      <c r="CE135" s="386"/>
      <c r="CF135" s="387"/>
      <c r="CG135" s="388">
        <f t="shared" si="134"/>
        <v>0.9166666666666666</v>
      </c>
      <c r="CH135" s="386">
        <f t="shared" si="130"/>
        <v>0.9166666666666666</v>
      </c>
      <c r="CI135" s="386">
        <f t="shared" si="131"/>
        <v>0.9166666666666666</v>
      </c>
      <c r="CJ135" s="387"/>
      <c r="CK135" s="388">
        <v>2.5</v>
      </c>
      <c r="CL135" s="386">
        <f t="shared" si="132"/>
        <v>3.4166666666666665</v>
      </c>
      <c r="CM135" s="386">
        <f t="shared" si="133"/>
        <v>3.4166666666666665</v>
      </c>
      <c r="CN135" s="389"/>
      <c r="CO135" s="387">
        <v>2.5</v>
      </c>
      <c r="CP135" s="386">
        <f t="shared" si="40"/>
        <v>5.916666666666666</v>
      </c>
      <c r="CQ135" s="198">
        <f t="shared" si="41"/>
        <v>5.916666666666666</v>
      </c>
      <c r="CR135" s="199">
        <v>0</v>
      </c>
      <c r="CS135" s="387">
        <v>2.5</v>
      </c>
      <c r="CT135" s="196">
        <f t="shared" si="42"/>
        <v>8.416666666666666</v>
      </c>
      <c r="CU135" s="390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86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86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86">
        <f t="shared" si="137"/>
        <v>15.916666666666666</v>
      </c>
      <c r="DH135" s="199">
        <v>10</v>
      </c>
      <c r="DI135" s="39">
        <v>12.5</v>
      </c>
      <c r="DJ135" s="196">
        <f t="shared" si="138"/>
        <v>28.416666666666664</v>
      </c>
      <c r="DK135" s="386">
        <f t="shared" si="139"/>
        <v>18.416666666666664</v>
      </c>
      <c r="DL135" s="199">
        <v>15</v>
      </c>
      <c r="DM135" s="39">
        <v>17.5</v>
      </c>
      <c r="DN135" s="196">
        <f t="shared" si="140"/>
        <v>35.916666666666664</v>
      </c>
      <c r="DO135" s="386">
        <f t="shared" si="141"/>
        <v>20.916666666666664</v>
      </c>
    </row>
    <row r="136" ht="14.25" customHeight="1" hidden="1" spans="1:119" s="377" customFormat="1" x14ac:dyDescent="0.25">
      <c r="A136" s="378" t="s">
        <v>175</v>
      </c>
      <c r="B136" s="379"/>
      <c r="C136" s="380" t="s">
        <v>1466</v>
      </c>
      <c r="D136" s="381" t="s">
        <v>1187</v>
      </c>
      <c r="E136" s="381" t="s">
        <v>114</v>
      </c>
      <c r="F136" s="382" t="s">
        <v>1391</v>
      </c>
      <c r="G136" s="383">
        <v>46132</v>
      </c>
      <c r="H136" s="382"/>
      <c r="I136" s="383">
        <v>46314</v>
      </c>
      <c r="J136" s="382"/>
      <c r="K136" s="382"/>
      <c r="L136" s="382"/>
      <c r="M136" s="382"/>
      <c r="N136" s="382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4"/>
      <c r="BI136" s="384"/>
      <c r="BJ136" s="384"/>
      <c r="BK136" s="384"/>
      <c r="BL136" s="384"/>
      <c r="BM136" s="384"/>
      <c r="BN136" s="384"/>
      <c r="BO136" s="384"/>
      <c r="BP136" s="384"/>
      <c r="BQ136" s="384"/>
      <c r="BR136" s="384"/>
      <c r="BS136" s="384"/>
      <c r="BT136" s="384"/>
      <c r="BU136" s="384"/>
      <c r="BV136" s="384"/>
      <c r="BW136" s="384"/>
      <c r="BX136" s="384"/>
      <c r="BY136" s="384"/>
      <c r="BZ136" s="385"/>
      <c r="CA136" s="384"/>
      <c r="CB136" s="384"/>
      <c r="CC136" s="385"/>
      <c r="CD136" s="385"/>
      <c r="CE136" s="386"/>
      <c r="CF136" s="387"/>
      <c r="CG136" s="388">
        <f t="shared" si="134"/>
        <v>0.9166666666666666</v>
      </c>
      <c r="CH136" s="386">
        <f t="shared" si="130"/>
        <v>0.9166666666666666</v>
      </c>
      <c r="CI136" s="386">
        <f t="shared" si="131"/>
        <v>0.9166666666666666</v>
      </c>
      <c r="CJ136" s="387"/>
      <c r="CK136" s="388">
        <v>2.5</v>
      </c>
      <c r="CL136" s="386">
        <f t="shared" si="132"/>
        <v>3.4166666666666665</v>
      </c>
      <c r="CM136" s="386">
        <f t="shared" si="133"/>
        <v>3.4166666666666665</v>
      </c>
      <c r="CN136" s="389">
        <v>5</v>
      </c>
      <c r="CO136" s="387">
        <v>2.5</v>
      </c>
      <c r="CP136" s="386">
        <f t="shared" si="40"/>
        <v>5.916666666666666</v>
      </c>
      <c r="CQ136" s="386">
        <f t="shared" si="41"/>
        <v>0.9166666666666661</v>
      </c>
      <c r="CR136" s="388">
        <v>0</v>
      </c>
      <c r="CS136" s="387">
        <v>2.5</v>
      </c>
      <c r="CT136" s="386">
        <f t="shared" si="42"/>
        <v>3.416666666666666</v>
      </c>
      <c r="CU136" s="390">
        <f t="shared" si="43"/>
        <v>3.416666666666666</v>
      </c>
      <c r="CV136" s="388">
        <v>0</v>
      </c>
      <c r="CW136" s="387">
        <v>2.5</v>
      </c>
      <c r="CX136" s="386">
        <f t="shared" si="135"/>
        <v>5.916666666666666</v>
      </c>
      <c r="CY136" s="386">
        <f t="shared" si="45"/>
        <v>5.916666666666666</v>
      </c>
      <c r="CZ136" s="388">
        <v>0</v>
      </c>
      <c r="DA136" s="387">
        <v>2.5</v>
      </c>
      <c r="DB136" s="386">
        <f t="shared" si="46"/>
        <v>8.416666666666666</v>
      </c>
      <c r="DC136" s="386">
        <f t="shared" si="47"/>
        <v>8.416666666666666</v>
      </c>
      <c r="DD136" s="182">
        <v>0</v>
      </c>
      <c r="DE136" s="174">
        <v>2.5</v>
      </c>
      <c r="DF136" s="386">
        <f t="shared" si="136"/>
        <v>10.916666666666666</v>
      </c>
      <c r="DG136" s="386">
        <f t="shared" si="137"/>
        <v>10.916666666666666</v>
      </c>
      <c r="DH136" s="388">
        <v>10</v>
      </c>
      <c r="DI136" s="387">
        <v>12.5</v>
      </c>
      <c r="DJ136" s="386">
        <f t="shared" si="138"/>
        <v>23.416666666666664</v>
      </c>
      <c r="DK136" s="386">
        <f t="shared" si="139"/>
        <v>13.416666666666664</v>
      </c>
      <c r="DL136" s="388">
        <v>15</v>
      </c>
      <c r="DM136" s="387">
        <v>17.5</v>
      </c>
      <c r="DN136" s="386">
        <f t="shared" si="140"/>
        <v>30.916666666666664</v>
      </c>
      <c r="DO136" s="386">
        <f t="shared" si="141"/>
        <v>15.916666666666664</v>
      </c>
    </row>
    <row r="137" ht="14.25" customHeight="1" hidden="1" spans="1:119" s="377" customFormat="1" x14ac:dyDescent="0.25">
      <c r="A137" s="378" t="s">
        <v>178</v>
      </c>
      <c r="B137" s="379"/>
      <c r="C137" s="380" t="s">
        <v>1467</v>
      </c>
      <c r="D137" s="381" t="s">
        <v>1189</v>
      </c>
      <c r="E137" s="381" t="s">
        <v>114</v>
      </c>
      <c r="F137" s="382" t="s">
        <v>1391</v>
      </c>
      <c r="G137" s="383">
        <v>46132</v>
      </c>
      <c r="H137" s="382"/>
      <c r="I137" s="383">
        <v>46314</v>
      </c>
      <c r="J137" s="382"/>
      <c r="K137" s="382"/>
      <c r="L137" s="382"/>
      <c r="M137" s="382"/>
      <c r="N137" s="382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4"/>
      <c r="BI137" s="384"/>
      <c r="BJ137" s="384"/>
      <c r="BK137" s="384"/>
      <c r="BL137" s="384"/>
      <c r="BM137" s="384"/>
      <c r="BN137" s="384"/>
      <c r="BO137" s="384"/>
      <c r="BP137" s="384"/>
      <c r="BQ137" s="384"/>
      <c r="BR137" s="384"/>
      <c r="BS137" s="384"/>
      <c r="BT137" s="384"/>
      <c r="BU137" s="384"/>
      <c r="BV137" s="384"/>
      <c r="BW137" s="384"/>
      <c r="BX137" s="384"/>
      <c r="BY137" s="384"/>
      <c r="BZ137" s="385"/>
      <c r="CA137" s="384"/>
      <c r="CB137" s="384"/>
      <c r="CC137" s="385"/>
      <c r="CD137" s="385"/>
      <c r="CE137" s="386"/>
      <c r="CF137" s="387"/>
      <c r="CG137" s="388">
        <f t="shared" si="134"/>
        <v>0.9166666666666666</v>
      </c>
      <c r="CH137" s="386">
        <f t="shared" si="130"/>
        <v>0.9166666666666666</v>
      </c>
      <c r="CI137" s="386">
        <f t="shared" si="131"/>
        <v>0.9166666666666666</v>
      </c>
      <c r="CJ137" s="387"/>
      <c r="CK137" s="388">
        <v>2.5</v>
      </c>
      <c r="CL137" s="386">
        <f t="shared" si="132"/>
        <v>3.4166666666666665</v>
      </c>
      <c r="CM137" s="386">
        <f t="shared" si="133"/>
        <v>3.4166666666666665</v>
      </c>
      <c r="CN137" s="389"/>
      <c r="CO137" s="387">
        <v>2.5</v>
      </c>
      <c r="CP137" s="386">
        <f t="shared" si="40"/>
        <v>5.916666666666666</v>
      </c>
      <c r="CQ137" s="198">
        <f t="shared" si="41"/>
        <v>5.916666666666666</v>
      </c>
      <c r="CR137" s="199">
        <v>7</v>
      </c>
      <c r="CS137" s="387">
        <v>2.5</v>
      </c>
      <c r="CT137" s="196">
        <f t="shared" si="42"/>
        <v>8.416666666666666</v>
      </c>
      <c r="CU137" s="390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86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86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86">
        <f t="shared" si="137"/>
        <v>8.916666666666666</v>
      </c>
      <c r="DH137" s="199">
        <v>10</v>
      </c>
      <c r="DI137" s="39">
        <v>12.5</v>
      </c>
      <c r="DJ137" s="196">
        <f t="shared" si="138"/>
        <v>21.416666666666664</v>
      </c>
      <c r="DK137" s="386">
        <f t="shared" si="139"/>
        <v>11.416666666666664</v>
      </c>
      <c r="DL137" s="199">
        <v>15</v>
      </c>
      <c r="DM137" s="39">
        <v>17.5</v>
      </c>
      <c r="DN137" s="196">
        <f t="shared" si="140"/>
        <v>28.916666666666664</v>
      </c>
      <c r="DO137" s="386">
        <f t="shared" si="141"/>
        <v>13.916666666666664</v>
      </c>
    </row>
    <row r="138" ht="14.25" customHeight="1" spans="1:119" s="165" customFormat="1" x14ac:dyDescent="0.25">
      <c r="A138" s="393" t="s">
        <v>192</v>
      </c>
      <c r="B138" s="394"/>
      <c r="C138" s="395" t="s">
        <v>944</v>
      </c>
      <c r="D138" s="273" t="s">
        <v>942</v>
      </c>
      <c r="E138" s="273" t="s">
        <v>114</v>
      </c>
      <c r="F138" s="274" t="s">
        <v>1391</v>
      </c>
      <c r="G138" s="170">
        <v>46132</v>
      </c>
      <c r="H138" s="274"/>
      <c r="I138" s="170">
        <v>46314</v>
      </c>
      <c r="J138" s="274"/>
      <c r="K138" s="274"/>
      <c r="L138" s="274"/>
      <c r="M138" s="274"/>
      <c r="N138" s="274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86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82">
        <v>10</v>
      </c>
      <c r="DI138" s="174">
        <v>12.5</v>
      </c>
      <c r="DJ138" s="179">
        <f t="shared" si="138"/>
        <v>24.416666666666664</v>
      </c>
      <c r="DK138" s="179">
        <f t="shared" si="139"/>
        <v>14.416666666666664</v>
      </c>
      <c r="DL138" s="182">
        <v>15</v>
      </c>
      <c r="DM138" s="174">
        <v>17.5</v>
      </c>
      <c r="DN138" s="179">
        <f t="shared" si="140"/>
        <v>31.916666666666664</v>
      </c>
      <c r="DO138" s="179">
        <f t="shared" si="141"/>
        <v>16.916666666666664</v>
      </c>
    </row>
    <row r="139" ht="14.25" customHeight="1" hidden="1" spans="1:119" s="377" customFormat="1" x14ac:dyDescent="0.25">
      <c r="A139" s="378" t="s">
        <v>186</v>
      </c>
      <c r="B139" s="379"/>
      <c r="C139" s="380" t="s">
        <v>1191</v>
      </c>
      <c r="D139" s="381" t="s">
        <v>1468</v>
      </c>
      <c r="E139" s="381" t="s">
        <v>114</v>
      </c>
      <c r="F139" s="382" t="s">
        <v>1391</v>
      </c>
      <c r="G139" s="383">
        <v>46132</v>
      </c>
      <c r="H139" s="382"/>
      <c r="I139" s="383">
        <v>46314</v>
      </c>
      <c r="J139" s="382"/>
      <c r="K139" s="382"/>
      <c r="L139" s="382"/>
      <c r="M139" s="382"/>
      <c r="N139" s="382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4"/>
      <c r="BI139" s="384"/>
      <c r="BJ139" s="384"/>
      <c r="BK139" s="384"/>
      <c r="BL139" s="384"/>
      <c r="BM139" s="384"/>
      <c r="BN139" s="384"/>
      <c r="BO139" s="384"/>
      <c r="BP139" s="384"/>
      <c r="BQ139" s="384"/>
      <c r="BR139" s="384"/>
      <c r="BS139" s="384"/>
      <c r="BT139" s="384"/>
      <c r="BU139" s="384"/>
      <c r="BV139" s="384"/>
      <c r="BW139" s="384"/>
      <c r="BX139" s="384"/>
      <c r="BY139" s="384"/>
      <c r="BZ139" s="385"/>
      <c r="CA139" s="384"/>
      <c r="CB139" s="384"/>
      <c r="CC139" s="385"/>
      <c r="CD139" s="385"/>
      <c r="CE139" s="386"/>
      <c r="CF139" s="387"/>
      <c r="CG139" s="388">
        <f t="shared" si="134"/>
        <v>0.9166666666666666</v>
      </c>
      <c r="CH139" s="386">
        <f t="shared" si="130"/>
        <v>0.9166666666666666</v>
      </c>
      <c r="CI139" s="386">
        <f t="shared" si="131"/>
        <v>0.9166666666666666</v>
      </c>
      <c r="CJ139" s="387"/>
      <c r="CK139" s="388">
        <v>2.5</v>
      </c>
      <c r="CL139" s="386">
        <f t="shared" si="132"/>
        <v>3.4166666666666665</v>
      </c>
      <c r="CM139" s="386">
        <f t="shared" si="133"/>
        <v>3.4166666666666665</v>
      </c>
      <c r="CN139" s="389">
        <v>5</v>
      </c>
      <c r="CO139" s="387">
        <v>2.5</v>
      </c>
      <c r="CP139" s="386">
        <f t="shared" si="40"/>
        <v>5.916666666666666</v>
      </c>
      <c r="CQ139" s="198">
        <f t="shared" si="41"/>
        <v>0.9166666666666661</v>
      </c>
      <c r="CR139" s="199">
        <v>0</v>
      </c>
      <c r="CS139" s="387">
        <v>2.5</v>
      </c>
      <c r="CT139" s="196">
        <f t="shared" si="42"/>
        <v>3.416666666666666</v>
      </c>
      <c r="CU139" s="390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86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86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86">
        <f t="shared" si="137"/>
        <v>10.916666666666666</v>
      </c>
      <c r="DH139" s="199">
        <v>10</v>
      </c>
      <c r="DI139" s="39">
        <v>12.5</v>
      </c>
      <c r="DJ139" s="196">
        <f t="shared" si="138"/>
        <v>23.416666666666664</v>
      </c>
      <c r="DK139" s="386">
        <f t="shared" si="139"/>
        <v>13.416666666666664</v>
      </c>
      <c r="DL139" s="199">
        <v>15</v>
      </c>
      <c r="DM139" s="39">
        <v>17.5</v>
      </c>
      <c r="DN139" s="196">
        <f t="shared" si="140"/>
        <v>30.916666666666664</v>
      </c>
      <c r="DO139" s="386">
        <f t="shared" si="141"/>
        <v>15.916666666666664</v>
      </c>
    </row>
    <row r="140" ht="14.25" customHeight="1" hidden="1" spans="1:119" s="377" customFormat="1" x14ac:dyDescent="0.25">
      <c r="A140" s="378" t="s">
        <v>189</v>
      </c>
      <c r="B140" s="379"/>
      <c r="C140" s="380" t="s">
        <v>1469</v>
      </c>
      <c r="D140" s="381" t="s">
        <v>1194</v>
      </c>
      <c r="E140" s="381" t="s">
        <v>114</v>
      </c>
      <c r="F140" s="382" t="s">
        <v>1391</v>
      </c>
      <c r="G140" s="383">
        <v>46132</v>
      </c>
      <c r="H140" s="382"/>
      <c r="I140" s="383">
        <v>46314</v>
      </c>
      <c r="J140" s="382"/>
      <c r="K140" s="382"/>
      <c r="L140" s="382"/>
      <c r="M140" s="382"/>
      <c r="N140" s="382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4"/>
      <c r="BI140" s="384"/>
      <c r="BJ140" s="384"/>
      <c r="BK140" s="384"/>
      <c r="BL140" s="384"/>
      <c r="BM140" s="384"/>
      <c r="BN140" s="384"/>
      <c r="BO140" s="384"/>
      <c r="BP140" s="384"/>
      <c r="BQ140" s="384"/>
      <c r="BR140" s="384"/>
      <c r="BS140" s="384"/>
      <c r="BT140" s="384"/>
      <c r="BU140" s="384"/>
      <c r="BV140" s="384"/>
      <c r="BW140" s="384"/>
      <c r="BX140" s="384"/>
      <c r="BY140" s="384"/>
      <c r="BZ140" s="385"/>
      <c r="CA140" s="384"/>
      <c r="CB140" s="384"/>
      <c r="CC140" s="385"/>
      <c r="CD140" s="385"/>
      <c r="CE140" s="386"/>
      <c r="CF140" s="387"/>
      <c r="CG140" s="388">
        <f t="shared" si="134"/>
        <v>0.9166666666666666</v>
      </c>
      <c r="CH140" s="386">
        <f t="shared" si="130"/>
        <v>0.9166666666666666</v>
      </c>
      <c r="CI140" s="386">
        <f t="shared" si="131"/>
        <v>0.9166666666666666</v>
      </c>
      <c r="CJ140" s="387"/>
      <c r="CK140" s="388">
        <v>2.5</v>
      </c>
      <c r="CL140" s="386">
        <f t="shared" si="132"/>
        <v>3.4166666666666665</v>
      </c>
      <c r="CM140" s="386">
        <f t="shared" si="133"/>
        <v>3.4166666666666665</v>
      </c>
      <c r="CN140" s="389">
        <v>5</v>
      </c>
      <c r="CO140" s="387">
        <v>2.5</v>
      </c>
      <c r="CP140" s="386">
        <f t="shared" si="40"/>
        <v>5.916666666666666</v>
      </c>
      <c r="CQ140" s="198">
        <f t="shared" si="41"/>
        <v>0.9166666666666661</v>
      </c>
      <c r="CR140" s="199">
        <v>0</v>
      </c>
      <c r="CS140" s="387">
        <v>2.5</v>
      </c>
      <c r="CT140" s="196">
        <f t="shared" si="42"/>
        <v>3.416666666666666</v>
      </c>
      <c r="CU140" s="390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86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86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86">
        <f t="shared" si="137"/>
        <v>10.916666666666666</v>
      </c>
      <c r="DH140" s="199">
        <v>10</v>
      </c>
      <c r="DI140" s="39">
        <v>12.5</v>
      </c>
      <c r="DJ140" s="196">
        <f t="shared" si="138"/>
        <v>23.416666666666664</v>
      </c>
      <c r="DK140" s="386">
        <f t="shared" si="139"/>
        <v>13.416666666666664</v>
      </c>
      <c r="DL140" s="199">
        <v>15</v>
      </c>
      <c r="DM140" s="39">
        <v>17.5</v>
      </c>
      <c r="DN140" s="196">
        <f t="shared" si="140"/>
        <v>30.916666666666664</v>
      </c>
      <c r="DO140" s="386">
        <f t="shared" si="141"/>
        <v>15.916666666666664</v>
      </c>
    </row>
    <row r="141" ht="14.25" customHeight="1" spans="1:119" s="377" customFormat="1" x14ac:dyDescent="0.25">
      <c r="A141" s="378" t="s">
        <v>203</v>
      </c>
      <c r="B141" s="379"/>
      <c r="C141" s="380" t="s">
        <v>1470</v>
      </c>
      <c r="D141" s="381" t="s">
        <v>1196</v>
      </c>
      <c r="E141" s="381" t="s">
        <v>114</v>
      </c>
      <c r="F141" s="382" t="s">
        <v>1391</v>
      </c>
      <c r="G141" s="383">
        <v>46132</v>
      </c>
      <c r="H141" s="382"/>
      <c r="I141" s="383">
        <v>46314</v>
      </c>
      <c r="J141" s="382"/>
      <c r="K141" s="382"/>
      <c r="L141" s="382"/>
      <c r="M141" s="382"/>
      <c r="N141" s="382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4"/>
      <c r="BI141" s="384"/>
      <c r="BJ141" s="384"/>
      <c r="BK141" s="384"/>
      <c r="BL141" s="384"/>
      <c r="BM141" s="384"/>
      <c r="BN141" s="384"/>
      <c r="BO141" s="384"/>
      <c r="BP141" s="384"/>
      <c r="BQ141" s="384"/>
      <c r="BR141" s="384"/>
      <c r="BS141" s="384"/>
      <c r="BT141" s="384"/>
      <c r="BU141" s="384"/>
      <c r="BV141" s="384"/>
      <c r="BW141" s="384"/>
      <c r="BX141" s="384"/>
      <c r="BY141" s="384"/>
      <c r="BZ141" s="385"/>
      <c r="CA141" s="384"/>
      <c r="CB141" s="384"/>
      <c r="CC141" s="385"/>
      <c r="CD141" s="385"/>
      <c r="CE141" s="386"/>
      <c r="CF141" s="387"/>
      <c r="CG141" s="388">
        <f t="shared" si="134"/>
        <v>0.9166666666666666</v>
      </c>
      <c r="CH141" s="386">
        <f t="shared" si="130"/>
        <v>0.9166666666666666</v>
      </c>
      <c r="CI141" s="386">
        <f t="shared" si="131"/>
        <v>0.9166666666666666</v>
      </c>
      <c r="CJ141" s="387"/>
      <c r="CK141" s="388">
        <v>2.5</v>
      </c>
      <c r="CL141" s="386">
        <f t="shared" si="132"/>
        <v>3.4166666666666665</v>
      </c>
      <c r="CM141" s="386">
        <f t="shared" si="133"/>
        <v>3.4166666666666665</v>
      </c>
      <c r="CN141" s="389"/>
      <c r="CO141" s="387">
        <v>2.5</v>
      </c>
      <c r="CP141" s="386">
        <f t="shared" si="40"/>
        <v>5.916666666666666</v>
      </c>
      <c r="CQ141" s="198">
        <f t="shared" si="41"/>
        <v>5.916666666666666</v>
      </c>
      <c r="CR141" s="199">
        <v>0</v>
      </c>
      <c r="CS141" s="387">
        <v>2.5</v>
      </c>
      <c r="CT141" s="196">
        <f t="shared" si="42"/>
        <v>8.416666666666666</v>
      </c>
      <c r="CU141" s="390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86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86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86">
        <f t="shared" si="137"/>
        <v>15.916666666666666</v>
      </c>
      <c r="DH141" s="199">
        <v>10</v>
      </c>
      <c r="DI141" s="39">
        <v>12.5</v>
      </c>
      <c r="DJ141" s="196">
        <f t="shared" si="138"/>
        <v>28.416666666666664</v>
      </c>
      <c r="DK141" s="386">
        <f t="shared" si="139"/>
        <v>18.416666666666664</v>
      </c>
      <c r="DL141" s="199">
        <v>15</v>
      </c>
      <c r="DM141" s="39">
        <v>17.5</v>
      </c>
      <c r="DN141" s="196">
        <f t="shared" si="140"/>
        <v>35.916666666666664</v>
      </c>
      <c r="DO141" s="386">
        <f t="shared" si="141"/>
        <v>20.916666666666664</v>
      </c>
    </row>
    <row r="142" ht="14.25" customHeight="1" spans="1:119" s="377" customFormat="1" x14ac:dyDescent="0.25">
      <c r="A142" s="378" t="s">
        <v>195</v>
      </c>
      <c r="B142" s="379"/>
      <c r="C142" s="380" t="s">
        <v>1471</v>
      </c>
      <c r="D142" s="381" t="s">
        <v>1200</v>
      </c>
      <c r="E142" s="381" t="s">
        <v>114</v>
      </c>
      <c r="F142" s="382" t="s">
        <v>1391</v>
      </c>
      <c r="G142" s="383">
        <v>46132</v>
      </c>
      <c r="H142" s="382"/>
      <c r="I142" s="383">
        <v>46314</v>
      </c>
      <c r="J142" s="382"/>
      <c r="K142" s="382"/>
      <c r="L142" s="382"/>
      <c r="M142" s="382"/>
      <c r="N142" s="382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4"/>
      <c r="BI142" s="384"/>
      <c r="BJ142" s="384"/>
      <c r="BK142" s="384"/>
      <c r="BL142" s="384"/>
      <c r="BM142" s="384"/>
      <c r="BN142" s="384"/>
      <c r="BO142" s="384"/>
      <c r="BP142" s="384"/>
      <c r="BQ142" s="384"/>
      <c r="BR142" s="384"/>
      <c r="BS142" s="384"/>
      <c r="BT142" s="384"/>
      <c r="BU142" s="384"/>
      <c r="BV142" s="384"/>
      <c r="BW142" s="384"/>
      <c r="BX142" s="384"/>
      <c r="BY142" s="384"/>
      <c r="BZ142" s="385"/>
      <c r="CA142" s="384"/>
      <c r="CB142" s="384"/>
      <c r="CC142" s="385"/>
      <c r="CD142" s="385"/>
      <c r="CE142" s="386"/>
      <c r="CF142" s="387"/>
      <c r="CG142" s="388">
        <f t="shared" si="134"/>
        <v>0.9166666666666666</v>
      </c>
      <c r="CH142" s="386">
        <f t="shared" si="130"/>
        <v>0.9166666666666666</v>
      </c>
      <c r="CI142" s="386">
        <f t="shared" si="131"/>
        <v>0.9166666666666666</v>
      </c>
      <c r="CJ142" s="387"/>
      <c r="CK142" s="388">
        <v>2.5</v>
      </c>
      <c r="CL142" s="386">
        <f t="shared" si="132"/>
        <v>3.4166666666666665</v>
      </c>
      <c r="CM142" s="386">
        <f t="shared" si="133"/>
        <v>3.4166666666666665</v>
      </c>
      <c r="CN142" s="389"/>
      <c r="CO142" s="387">
        <v>2.5</v>
      </c>
      <c r="CP142" s="386">
        <f t="shared" si="40"/>
        <v>5.916666666666666</v>
      </c>
      <c r="CQ142" s="198">
        <f t="shared" si="41"/>
        <v>5.916666666666666</v>
      </c>
      <c r="CR142" s="199">
        <v>3</v>
      </c>
      <c r="CS142" s="387">
        <v>2.5</v>
      </c>
      <c r="CT142" s="196">
        <f t="shared" si="42"/>
        <v>8.416666666666666</v>
      </c>
      <c r="CU142" s="390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86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86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86">
        <f t="shared" si="137"/>
        <v>12.916666666666666</v>
      </c>
      <c r="DH142" s="199">
        <v>10</v>
      </c>
      <c r="DI142" s="39">
        <v>12.5</v>
      </c>
      <c r="DJ142" s="196">
        <f t="shared" si="138"/>
        <v>25.416666666666664</v>
      </c>
      <c r="DK142" s="386">
        <f t="shared" si="139"/>
        <v>15.416666666666664</v>
      </c>
      <c r="DL142" s="199">
        <v>15</v>
      </c>
      <c r="DM142" s="39">
        <v>17.5</v>
      </c>
      <c r="DN142" s="196">
        <f t="shared" si="140"/>
        <v>32.916666666666664</v>
      </c>
      <c r="DO142" s="386">
        <f t="shared" si="141"/>
        <v>17.916666666666664</v>
      </c>
    </row>
    <row r="143" ht="14.25" customHeight="1" spans="1:119" s="377" customFormat="1" x14ac:dyDescent="0.25">
      <c r="A143" s="378" t="s">
        <v>206</v>
      </c>
      <c r="B143" s="379"/>
      <c r="C143" s="380" t="s">
        <v>1201</v>
      </c>
      <c r="D143" s="381" t="s">
        <v>1472</v>
      </c>
      <c r="E143" s="381" t="s">
        <v>114</v>
      </c>
      <c r="F143" s="382" t="s">
        <v>1391</v>
      </c>
      <c r="G143" s="383">
        <v>46132</v>
      </c>
      <c r="H143" s="382"/>
      <c r="I143" s="383">
        <v>46314</v>
      </c>
      <c r="J143" s="382"/>
      <c r="K143" s="382"/>
      <c r="L143" s="382"/>
      <c r="M143" s="382"/>
      <c r="N143" s="382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4"/>
      <c r="BI143" s="384"/>
      <c r="BJ143" s="384"/>
      <c r="BK143" s="384"/>
      <c r="BL143" s="384"/>
      <c r="BM143" s="384"/>
      <c r="BN143" s="384"/>
      <c r="BO143" s="384"/>
      <c r="BP143" s="384"/>
      <c r="BQ143" s="384"/>
      <c r="BR143" s="384"/>
      <c r="BS143" s="384"/>
      <c r="BT143" s="384"/>
      <c r="BU143" s="384"/>
      <c r="BV143" s="384"/>
      <c r="BW143" s="384"/>
      <c r="BX143" s="384"/>
      <c r="BY143" s="384"/>
      <c r="BZ143" s="385"/>
      <c r="CA143" s="384"/>
      <c r="CB143" s="384"/>
      <c r="CC143" s="385"/>
      <c r="CD143" s="385"/>
      <c r="CE143" s="386"/>
      <c r="CF143" s="387"/>
      <c r="CG143" s="388">
        <f t="shared" si="134"/>
        <v>0.9166666666666666</v>
      </c>
      <c r="CH143" s="386">
        <f t="shared" si="130"/>
        <v>0.9166666666666666</v>
      </c>
      <c r="CI143" s="386">
        <f t="shared" si="131"/>
        <v>0.9166666666666666</v>
      </c>
      <c r="CJ143" s="387"/>
      <c r="CK143" s="388">
        <v>2.5</v>
      </c>
      <c r="CL143" s="386">
        <f t="shared" si="132"/>
        <v>3.4166666666666665</v>
      </c>
      <c r="CM143" s="386">
        <f t="shared" si="133"/>
        <v>3.4166666666666665</v>
      </c>
      <c r="CN143" s="389"/>
      <c r="CO143" s="387">
        <v>2.5</v>
      </c>
      <c r="CP143" s="386">
        <f t="shared" si="40"/>
        <v>5.916666666666666</v>
      </c>
      <c r="CQ143" s="198">
        <f t="shared" si="41"/>
        <v>5.916666666666666</v>
      </c>
      <c r="CR143" s="199">
        <v>0</v>
      </c>
      <c r="CS143" s="387">
        <v>2.5</v>
      </c>
      <c r="CT143" s="196">
        <f t="shared" si="42"/>
        <v>8.416666666666666</v>
      </c>
      <c r="CU143" s="390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86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86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86">
        <f t="shared" si="137"/>
        <v>14.916666666666666</v>
      </c>
      <c r="DH143" s="199">
        <v>10</v>
      </c>
      <c r="DI143" s="39">
        <v>12.5</v>
      </c>
      <c r="DJ143" s="196">
        <f t="shared" si="138"/>
        <v>27.416666666666664</v>
      </c>
      <c r="DK143" s="386">
        <f t="shared" si="139"/>
        <v>17.416666666666664</v>
      </c>
      <c r="DL143" s="199">
        <v>15</v>
      </c>
      <c r="DM143" s="39">
        <v>17.5</v>
      </c>
      <c r="DN143" s="196">
        <f t="shared" si="140"/>
        <v>34.916666666666664</v>
      </c>
      <c r="DO143" s="386">
        <f t="shared" si="141"/>
        <v>19.916666666666664</v>
      </c>
    </row>
    <row r="144" ht="14.25" customHeight="1" spans="1:119" s="377" customFormat="1" x14ac:dyDescent="0.25">
      <c r="A144" s="378" t="s">
        <v>209</v>
      </c>
      <c r="B144" s="379"/>
      <c r="C144" s="380" t="s">
        <v>1473</v>
      </c>
      <c r="D144" s="381" t="s">
        <v>1204</v>
      </c>
      <c r="E144" s="381" t="s">
        <v>114</v>
      </c>
      <c r="F144" s="382" t="s">
        <v>1391</v>
      </c>
      <c r="G144" s="383">
        <v>46132</v>
      </c>
      <c r="H144" s="382"/>
      <c r="I144" s="383">
        <v>46314</v>
      </c>
      <c r="J144" s="382"/>
      <c r="K144" s="382"/>
      <c r="L144" s="382"/>
      <c r="M144" s="382"/>
      <c r="N144" s="382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4"/>
      <c r="BI144" s="384"/>
      <c r="BJ144" s="384"/>
      <c r="BK144" s="384"/>
      <c r="BL144" s="384"/>
      <c r="BM144" s="384"/>
      <c r="BN144" s="384"/>
      <c r="BO144" s="384"/>
      <c r="BP144" s="384"/>
      <c r="BQ144" s="384"/>
      <c r="BR144" s="384"/>
      <c r="BS144" s="384"/>
      <c r="BT144" s="384"/>
      <c r="BU144" s="384"/>
      <c r="BV144" s="384"/>
      <c r="BW144" s="384"/>
      <c r="BX144" s="384"/>
      <c r="BY144" s="384"/>
      <c r="BZ144" s="385"/>
      <c r="CA144" s="384"/>
      <c r="CB144" s="384"/>
      <c r="CC144" s="385"/>
      <c r="CD144" s="385"/>
      <c r="CE144" s="386"/>
      <c r="CF144" s="387"/>
      <c r="CG144" s="388">
        <f t="shared" si="134"/>
        <v>0.9166666666666666</v>
      </c>
      <c r="CH144" s="386">
        <f t="shared" si="130"/>
        <v>0.9166666666666666</v>
      </c>
      <c r="CI144" s="386">
        <f t="shared" si="131"/>
        <v>0.9166666666666666</v>
      </c>
      <c r="CJ144" s="387"/>
      <c r="CK144" s="388">
        <v>2.5</v>
      </c>
      <c r="CL144" s="386">
        <f t="shared" si="132"/>
        <v>3.4166666666666665</v>
      </c>
      <c r="CM144" s="386">
        <f t="shared" si="133"/>
        <v>3.4166666666666665</v>
      </c>
      <c r="CN144" s="389">
        <v>3</v>
      </c>
      <c r="CO144" s="387">
        <v>2.5</v>
      </c>
      <c r="CP144" s="386">
        <f t="shared" si="40"/>
        <v>5.916666666666666</v>
      </c>
      <c r="CQ144" s="198">
        <f t="shared" si="41"/>
        <v>2.916666666666666</v>
      </c>
      <c r="CR144" s="199">
        <v>0</v>
      </c>
      <c r="CS144" s="387">
        <v>2.5</v>
      </c>
      <c r="CT144" s="196">
        <f t="shared" si="42"/>
        <v>5.416666666666666</v>
      </c>
      <c r="CU144" s="390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86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86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86">
        <f t="shared" si="137"/>
        <v>12.916666666666666</v>
      </c>
      <c r="DH144" s="199">
        <v>10</v>
      </c>
      <c r="DI144" s="39">
        <v>12.5</v>
      </c>
      <c r="DJ144" s="196">
        <f t="shared" si="138"/>
        <v>25.416666666666664</v>
      </c>
      <c r="DK144" s="386">
        <f t="shared" si="139"/>
        <v>15.416666666666664</v>
      </c>
      <c r="DL144" s="199">
        <v>15</v>
      </c>
      <c r="DM144" s="39">
        <v>17.5</v>
      </c>
      <c r="DN144" s="196">
        <f t="shared" si="140"/>
        <v>32.916666666666664</v>
      </c>
      <c r="DO144" s="386">
        <f t="shared" si="141"/>
        <v>17.916666666666664</v>
      </c>
    </row>
    <row r="145" ht="14.25" customHeight="1" spans="1:119" s="377" customFormat="1" x14ac:dyDescent="0.25">
      <c r="A145" s="378" t="s">
        <v>218</v>
      </c>
      <c r="B145" s="379"/>
      <c r="C145" s="380" t="s">
        <v>1205</v>
      </c>
      <c r="D145" s="381" t="s">
        <v>1206</v>
      </c>
      <c r="E145" s="381" t="s">
        <v>114</v>
      </c>
      <c r="F145" s="382" t="s">
        <v>1391</v>
      </c>
      <c r="G145" s="383">
        <v>46132</v>
      </c>
      <c r="H145" s="382"/>
      <c r="I145" s="383">
        <v>46314</v>
      </c>
      <c r="J145" s="382"/>
      <c r="K145" s="382"/>
      <c r="L145" s="382"/>
      <c r="M145" s="382"/>
      <c r="N145" s="382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4"/>
      <c r="BI145" s="384"/>
      <c r="BJ145" s="384"/>
      <c r="BK145" s="384"/>
      <c r="BL145" s="384"/>
      <c r="BM145" s="384"/>
      <c r="BN145" s="384"/>
      <c r="BO145" s="384"/>
      <c r="BP145" s="384"/>
      <c r="BQ145" s="384"/>
      <c r="BR145" s="384"/>
      <c r="BS145" s="384"/>
      <c r="BT145" s="384"/>
      <c r="BU145" s="384"/>
      <c r="BV145" s="384"/>
      <c r="BW145" s="384"/>
      <c r="BX145" s="384"/>
      <c r="BY145" s="384"/>
      <c r="BZ145" s="385"/>
      <c r="CA145" s="384"/>
      <c r="CB145" s="384"/>
      <c r="CC145" s="385"/>
      <c r="CD145" s="385"/>
      <c r="CE145" s="386"/>
      <c r="CF145" s="387"/>
      <c r="CG145" s="388">
        <f t="shared" si="134"/>
        <v>0.9166666666666666</v>
      </c>
      <c r="CH145" s="386">
        <f t="shared" si="130"/>
        <v>0.9166666666666666</v>
      </c>
      <c r="CI145" s="386">
        <f t="shared" si="131"/>
        <v>0.9166666666666666</v>
      </c>
      <c r="CJ145" s="387"/>
      <c r="CK145" s="388">
        <v>2.5</v>
      </c>
      <c r="CL145" s="386">
        <f t="shared" si="132"/>
        <v>3.4166666666666665</v>
      </c>
      <c r="CM145" s="386">
        <f t="shared" si="133"/>
        <v>3.4166666666666665</v>
      </c>
      <c r="CN145" s="389"/>
      <c r="CO145" s="387">
        <v>2.5</v>
      </c>
      <c r="CP145" s="386">
        <f t="shared" si="40"/>
        <v>5.916666666666666</v>
      </c>
      <c r="CQ145" s="198">
        <f t="shared" si="41"/>
        <v>5.916666666666666</v>
      </c>
      <c r="CR145" s="199">
        <v>0</v>
      </c>
      <c r="CS145" s="387">
        <v>2.5</v>
      </c>
      <c r="CT145" s="196">
        <f t="shared" si="42"/>
        <v>8.416666666666666</v>
      </c>
      <c r="CU145" s="390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86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86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86">
        <f t="shared" si="137"/>
        <v>15.916666666666666</v>
      </c>
      <c r="DH145" s="199">
        <v>10</v>
      </c>
      <c r="DI145" s="39">
        <v>12.5</v>
      </c>
      <c r="DJ145" s="196">
        <f t="shared" si="138"/>
        <v>28.416666666666664</v>
      </c>
      <c r="DK145" s="386">
        <f t="shared" si="139"/>
        <v>18.416666666666664</v>
      </c>
      <c r="DL145" s="199">
        <v>15</v>
      </c>
      <c r="DM145" s="39">
        <v>17.5</v>
      </c>
      <c r="DN145" s="196">
        <f t="shared" si="140"/>
        <v>35.916666666666664</v>
      </c>
      <c r="DO145" s="386">
        <f t="shared" si="141"/>
        <v>20.916666666666664</v>
      </c>
    </row>
    <row r="146" ht="14.25" customHeight="1" spans="1:119" s="52" customFormat="1" x14ac:dyDescent="0.25">
      <c r="A146" s="391" t="s">
        <v>183</v>
      </c>
      <c r="B146" s="392"/>
      <c r="C146" s="340" t="s">
        <v>1474</v>
      </c>
      <c r="D146" s="238" t="s">
        <v>1208</v>
      </c>
      <c r="E146" s="238" t="s">
        <v>114</v>
      </c>
      <c r="F146" s="239" t="s">
        <v>1391</v>
      </c>
      <c r="G146" s="221">
        <v>46132</v>
      </c>
      <c r="H146" s="239"/>
      <c r="I146" s="221">
        <v>46314</v>
      </c>
      <c r="J146" s="239"/>
      <c r="K146" s="239"/>
      <c r="L146" s="239"/>
      <c r="M146" s="239"/>
      <c r="N146" s="239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  <c r="BF146" s="230"/>
      <c r="BG146" s="230"/>
      <c r="BH146" s="230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  <c r="BV146" s="230"/>
      <c r="BW146" s="230"/>
      <c r="BX146" s="230"/>
      <c r="BY146" s="230"/>
      <c r="BZ146" s="231"/>
      <c r="CA146" s="230"/>
      <c r="CB146" s="230"/>
      <c r="CC146" s="231"/>
      <c r="CD146" s="231"/>
      <c r="CE146" s="228"/>
      <c r="CF146" s="59"/>
      <c r="CG146" s="232">
        <f t="shared" si="134"/>
        <v>0.9166666666666666</v>
      </c>
      <c r="CH146" s="228">
        <f t="shared" si="130"/>
        <v>0.9166666666666666</v>
      </c>
      <c r="CI146" s="228">
        <f t="shared" si="131"/>
        <v>0.9166666666666666</v>
      </c>
      <c r="CJ146" s="59"/>
      <c r="CK146" s="232">
        <v>2.5</v>
      </c>
      <c r="CL146" s="228">
        <f t="shared" si="132"/>
        <v>3.4166666666666665</v>
      </c>
      <c r="CM146" s="228">
        <f t="shared" si="133"/>
        <v>3.4166666666666665</v>
      </c>
      <c r="CN146" s="225"/>
      <c r="CO146" s="59">
        <v>2.5</v>
      </c>
      <c r="CP146" s="228">
        <f t="shared" si="40"/>
        <v>5.916666666666666</v>
      </c>
      <c r="CQ146" s="228">
        <f t="shared" si="41"/>
        <v>5.916666666666666</v>
      </c>
      <c r="CR146" s="232">
        <v>0</v>
      </c>
      <c r="CS146" s="59">
        <v>2.5</v>
      </c>
      <c r="CT146" s="228">
        <f t="shared" si="42"/>
        <v>8.416666666666666</v>
      </c>
      <c r="CU146" s="233">
        <f t="shared" si="43"/>
        <v>8.416666666666666</v>
      </c>
      <c r="CV146" s="232">
        <v>0</v>
      </c>
      <c r="CW146" s="59">
        <v>2.5</v>
      </c>
      <c r="CX146" s="228">
        <f t="shared" si="135"/>
        <v>10.916666666666666</v>
      </c>
      <c r="CY146" s="228">
        <f t="shared" si="45"/>
        <v>10.916666666666666</v>
      </c>
      <c r="CZ146" s="232">
        <v>0</v>
      </c>
      <c r="DA146" s="59">
        <v>2.5</v>
      </c>
      <c r="DB146" s="228">
        <f t="shared" si="46"/>
        <v>13.416666666666666</v>
      </c>
      <c r="DC146" s="228">
        <f t="shared" si="47"/>
        <v>13.416666666666666</v>
      </c>
      <c r="DD146" s="232">
        <v>0</v>
      </c>
      <c r="DE146" s="59">
        <v>2.5</v>
      </c>
      <c r="DF146" s="228">
        <f t="shared" si="136"/>
        <v>15.916666666666666</v>
      </c>
      <c r="DG146" s="228">
        <f t="shared" si="137"/>
        <v>15.916666666666666</v>
      </c>
      <c r="DH146" s="232">
        <v>10</v>
      </c>
      <c r="DI146" s="59">
        <v>12.5</v>
      </c>
      <c r="DJ146" s="228">
        <f t="shared" si="138"/>
        <v>28.416666666666664</v>
      </c>
      <c r="DK146" s="228">
        <f t="shared" si="139"/>
        <v>18.416666666666664</v>
      </c>
      <c r="DL146" s="232">
        <v>15</v>
      </c>
      <c r="DM146" s="59">
        <v>17.5</v>
      </c>
      <c r="DN146" s="228">
        <f t="shared" si="140"/>
        <v>35.916666666666664</v>
      </c>
      <c r="DO146" s="228">
        <f t="shared" si="141"/>
        <v>20.916666666666664</v>
      </c>
    </row>
    <row r="147" ht="14.25" customHeight="1" spans="1:119" s="377" customFormat="1" x14ac:dyDescent="0.25">
      <c r="A147" s="378" t="s">
        <v>309</v>
      </c>
      <c r="B147" s="379"/>
      <c r="C147" s="380" t="s">
        <v>1120</v>
      </c>
      <c r="D147" s="381" t="s">
        <v>1475</v>
      </c>
      <c r="E147" s="381" t="s">
        <v>114</v>
      </c>
      <c r="F147" s="382" t="s">
        <v>1391</v>
      </c>
      <c r="G147" s="383">
        <v>46132</v>
      </c>
      <c r="H147" s="382"/>
      <c r="I147" s="383">
        <v>46314</v>
      </c>
      <c r="J147" s="382"/>
      <c r="K147" s="382"/>
      <c r="L147" s="382"/>
      <c r="M147" s="382"/>
      <c r="N147" s="382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4"/>
      <c r="BI147" s="384"/>
      <c r="BJ147" s="384"/>
      <c r="BK147" s="384"/>
      <c r="BL147" s="384"/>
      <c r="BM147" s="384"/>
      <c r="BN147" s="384"/>
      <c r="BO147" s="384"/>
      <c r="BP147" s="384"/>
      <c r="BQ147" s="384"/>
      <c r="BR147" s="384"/>
      <c r="BS147" s="384"/>
      <c r="BT147" s="384"/>
      <c r="BU147" s="384"/>
      <c r="BV147" s="384"/>
      <c r="BW147" s="384"/>
      <c r="BX147" s="384"/>
      <c r="BY147" s="384"/>
      <c r="BZ147" s="385"/>
      <c r="CA147" s="384"/>
      <c r="CB147" s="384"/>
      <c r="CC147" s="385"/>
      <c r="CD147" s="385"/>
      <c r="CE147" s="386"/>
      <c r="CF147" s="387"/>
      <c r="CG147" s="388">
        <f t="shared" si="134"/>
        <v>0.9166666666666666</v>
      </c>
      <c r="CH147" s="386">
        <f t="shared" si="130"/>
        <v>0.9166666666666666</v>
      </c>
      <c r="CI147" s="386">
        <f t="shared" si="131"/>
        <v>0.9166666666666666</v>
      </c>
      <c r="CJ147" s="387"/>
      <c r="CK147" s="388">
        <v>2.5</v>
      </c>
      <c r="CL147" s="386">
        <f t="shared" si="132"/>
        <v>3.4166666666666665</v>
      </c>
      <c r="CM147" s="386">
        <f t="shared" si="133"/>
        <v>3.4166666666666665</v>
      </c>
      <c r="CN147" s="389"/>
      <c r="CO147" s="387">
        <v>2.5</v>
      </c>
      <c r="CP147" s="386">
        <f t="shared" si="40"/>
        <v>5.916666666666666</v>
      </c>
      <c r="CQ147" s="198">
        <f t="shared" si="41"/>
        <v>5.916666666666666</v>
      </c>
      <c r="CR147" s="199">
        <v>0</v>
      </c>
      <c r="CS147" s="387">
        <v>2.5</v>
      </c>
      <c r="CT147" s="196">
        <f t="shared" si="42"/>
        <v>8.416666666666666</v>
      </c>
      <c r="CU147" s="390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86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86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86">
        <f t="shared" si="137"/>
        <v>15.916666666666666</v>
      </c>
      <c r="DH147" s="199">
        <v>10</v>
      </c>
      <c r="DI147" s="39">
        <v>12.5</v>
      </c>
      <c r="DJ147" s="196">
        <f t="shared" si="138"/>
        <v>28.416666666666664</v>
      </c>
      <c r="DK147" s="386">
        <f t="shared" si="139"/>
        <v>18.416666666666664</v>
      </c>
      <c r="DL147" s="199">
        <v>15</v>
      </c>
      <c r="DM147" s="39">
        <v>17.5</v>
      </c>
      <c r="DN147" s="196">
        <f t="shared" si="140"/>
        <v>35.916666666666664</v>
      </c>
      <c r="DO147" s="386">
        <f t="shared" si="141"/>
        <v>20.916666666666664</v>
      </c>
    </row>
    <row r="148" ht="14.25" customHeight="1" spans="1:119" s="377" customFormat="1" x14ac:dyDescent="0.25">
      <c r="A148" s="378" t="s">
        <v>212</v>
      </c>
      <c r="B148" s="379"/>
      <c r="C148" s="380" t="s">
        <v>1476</v>
      </c>
      <c r="D148" s="381" t="s">
        <v>1211</v>
      </c>
      <c r="E148" s="381" t="s">
        <v>114</v>
      </c>
      <c r="F148" s="382" t="s">
        <v>1391</v>
      </c>
      <c r="G148" s="383">
        <v>46132</v>
      </c>
      <c r="H148" s="382"/>
      <c r="I148" s="383">
        <v>46314</v>
      </c>
      <c r="J148" s="382"/>
      <c r="K148" s="382"/>
      <c r="L148" s="382"/>
      <c r="M148" s="382"/>
      <c r="N148" s="382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  <c r="AW148" s="384"/>
      <c r="AX148" s="384"/>
      <c r="AY148" s="384"/>
      <c r="AZ148" s="384"/>
      <c r="BA148" s="384"/>
      <c r="BB148" s="384"/>
      <c r="BC148" s="384"/>
      <c r="BD148" s="384"/>
      <c r="BE148" s="384"/>
      <c r="BF148" s="384"/>
      <c r="BG148" s="384"/>
      <c r="BH148" s="384"/>
      <c r="BI148" s="384"/>
      <c r="BJ148" s="384"/>
      <c r="BK148" s="384"/>
      <c r="BL148" s="384"/>
      <c r="BM148" s="384"/>
      <c r="BN148" s="384"/>
      <c r="BO148" s="384"/>
      <c r="BP148" s="384"/>
      <c r="BQ148" s="384"/>
      <c r="BR148" s="384"/>
      <c r="BS148" s="384"/>
      <c r="BT148" s="384"/>
      <c r="BU148" s="384"/>
      <c r="BV148" s="384"/>
      <c r="BW148" s="384"/>
      <c r="BX148" s="384"/>
      <c r="BY148" s="384"/>
      <c r="BZ148" s="385"/>
      <c r="CA148" s="384"/>
      <c r="CB148" s="384"/>
      <c r="CC148" s="385"/>
      <c r="CD148" s="385"/>
      <c r="CE148" s="386"/>
      <c r="CF148" s="387"/>
      <c r="CG148" s="388">
        <f t="shared" si="134"/>
        <v>0.9166666666666666</v>
      </c>
      <c r="CH148" s="386">
        <f t="shared" si="130"/>
        <v>0.9166666666666666</v>
      </c>
      <c r="CI148" s="386">
        <f t="shared" si="131"/>
        <v>0.9166666666666666</v>
      </c>
      <c r="CJ148" s="387"/>
      <c r="CK148" s="388">
        <v>2.5</v>
      </c>
      <c r="CL148" s="386">
        <f t="shared" si="132"/>
        <v>3.4166666666666665</v>
      </c>
      <c r="CM148" s="386">
        <f t="shared" si="133"/>
        <v>3.4166666666666665</v>
      </c>
      <c r="CN148" s="389"/>
      <c r="CO148" s="387">
        <v>2.5</v>
      </c>
      <c r="CP148" s="386">
        <f t="shared" si="40"/>
        <v>5.916666666666666</v>
      </c>
      <c r="CQ148" s="198">
        <f t="shared" si="41"/>
        <v>5.916666666666666</v>
      </c>
      <c r="CR148" s="199">
        <v>0</v>
      </c>
      <c r="CS148" s="387">
        <v>2.5</v>
      </c>
      <c r="CT148" s="196">
        <f t="shared" si="42"/>
        <v>8.416666666666666</v>
      </c>
      <c r="CU148" s="390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86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86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86">
        <f t="shared" si="137"/>
        <v>15.916666666666666</v>
      </c>
      <c r="DH148" s="199">
        <v>10</v>
      </c>
      <c r="DI148" s="39">
        <v>12.5</v>
      </c>
      <c r="DJ148" s="196">
        <f t="shared" si="138"/>
        <v>28.416666666666664</v>
      </c>
      <c r="DK148" s="386">
        <f t="shared" si="139"/>
        <v>18.416666666666664</v>
      </c>
      <c r="DL148" s="199">
        <v>15</v>
      </c>
      <c r="DM148" s="39">
        <v>17.5</v>
      </c>
      <c r="DN148" s="196">
        <f t="shared" si="140"/>
        <v>35.916666666666664</v>
      </c>
      <c r="DO148" s="386">
        <f t="shared" si="141"/>
        <v>20.916666666666664</v>
      </c>
    </row>
    <row r="149" ht="14.25" customHeight="1" spans="1:119" s="165" customFormat="1" x14ac:dyDescent="0.25">
      <c r="A149" s="393" t="s">
        <v>144</v>
      </c>
      <c r="B149" s="394"/>
      <c r="C149" s="395" t="s">
        <v>1456</v>
      </c>
      <c r="D149" s="273" t="s">
        <v>1212</v>
      </c>
      <c r="E149" s="273" t="s">
        <v>114</v>
      </c>
      <c r="F149" s="274" t="s">
        <v>1391</v>
      </c>
      <c r="G149" s="170">
        <v>46132</v>
      </c>
      <c r="H149" s="274"/>
      <c r="I149" s="170">
        <v>46314</v>
      </c>
      <c r="J149" s="274"/>
      <c r="K149" s="274"/>
      <c r="L149" s="274"/>
      <c r="M149" s="274"/>
      <c r="N149" s="274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86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82">
        <v>10</v>
      </c>
      <c r="DI149" s="174">
        <v>12.5</v>
      </c>
      <c r="DJ149" s="179">
        <f t="shared" si="138"/>
        <v>20.416666666666664</v>
      </c>
      <c r="DK149" s="179">
        <f t="shared" si="139"/>
        <v>10.416666666666664</v>
      </c>
      <c r="DL149" s="182">
        <v>15</v>
      </c>
      <c r="DM149" s="174">
        <v>17.5</v>
      </c>
      <c r="DN149" s="179">
        <f t="shared" si="140"/>
        <v>27.916666666666664</v>
      </c>
      <c r="DO149" s="179">
        <f t="shared" si="141"/>
        <v>12.916666666666664</v>
      </c>
    </row>
    <row r="150" ht="14.25" customHeight="1" hidden="1" spans="1:119" s="377" customFormat="1" x14ac:dyDescent="0.25">
      <c r="A150" s="378" t="s">
        <v>105</v>
      </c>
      <c r="B150" s="379"/>
      <c r="C150" s="380" t="s">
        <v>1422</v>
      </c>
      <c r="D150" s="381" t="s">
        <v>1213</v>
      </c>
      <c r="E150" s="381" t="s">
        <v>100</v>
      </c>
      <c r="F150" s="382" t="s">
        <v>1391</v>
      </c>
      <c r="G150" s="383">
        <v>46139</v>
      </c>
      <c r="H150" s="382"/>
      <c r="I150" s="383">
        <v>46321</v>
      </c>
      <c r="J150" s="382"/>
      <c r="K150" s="382"/>
      <c r="L150" s="382"/>
      <c r="M150" s="382"/>
      <c r="N150" s="382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  <c r="AW150" s="384"/>
      <c r="AX150" s="384"/>
      <c r="AY150" s="384"/>
      <c r="AZ150" s="384"/>
      <c r="BA150" s="384"/>
      <c r="BB150" s="384"/>
      <c r="BC150" s="384"/>
      <c r="BD150" s="384"/>
      <c r="BE150" s="384"/>
      <c r="BF150" s="384"/>
      <c r="BG150" s="384"/>
      <c r="BH150" s="384"/>
      <c r="BI150" s="384"/>
      <c r="BJ150" s="384"/>
      <c r="BK150" s="384"/>
      <c r="BL150" s="384"/>
      <c r="BM150" s="384"/>
      <c r="BN150" s="384"/>
      <c r="BO150" s="384"/>
      <c r="BP150" s="384"/>
      <c r="BQ150" s="384"/>
      <c r="BR150" s="384"/>
      <c r="BS150" s="384"/>
      <c r="BT150" s="384"/>
      <c r="BU150" s="384"/>
      <c r="BV150" s="384"/>
      <c r="BW150" s="384"/>
      <c r="BX150" s="384"/>
      <c r="BY150" s="384"/>
      <c r="BZ150" s="385"/>
      <c r="CA150" s="384"/>
      <c r="CB150" s="384"/>
      <c r="CC150" s="385"/>
      <c r="CD150" s="385"/>
      <c r="CE150" s="386"/>
      <c r="CF150" s="387"/>
      <c r="CG150" s="388">
        <v>0.42</v>
      </c>
      <c r="CH150" s="386">
        <f t="shared" si="130"/>
        <v>0.42</v>
      </c>
      <c r="CI150" s="386">
        <f t="shared" si="131"/>
        <v>0.42</v>
      </c>
      <c r="CJ150" s="387"/>
      <c r="CK150" s="388">
        <v>2.5</v>
      </c>
      <c r="CL150" s="386">
        <f t="shared" si="132"/>
        <v>2.92</v>
      </c>
      <c r="CM150" s="386">
        <f t="shared" si="133"/>
        <v>2.92</v>
      </c>
      <c r="CN150" s="389"/>
      <c r="CO150" s="387">
        <v>2.5</v>
      </c>
      <c r="CP150" s="386">
        <f t="shared" si="40"/>
        <v>5.42</v>
      </c>
      <c r="CQ150" s="198">
        <f t="shared" si="41"/>
        <v>5.42</v>
      </c>
      <c r="CR150" s="199">
        <v>0</v>
      </c>
      <c r="CS150" s="387">
        <v>2.5</v>
      </c>
      <c r="CT150" s="196">
        <f t="shared" si="42"/>
        <v>7.92</v>
      </c>
      <c r="CU150" s="390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86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86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86">
        <f t="shared" si="137"/>
        <v>15.42</v>
      </c>
      <c r="DH150" s="199">
        <v>10</v>
      </c>
      <c r="DI150" s="39">
        <v>12.5</v>
      </c>
      <c r="DJ150" s="196">
        <f t="shared" si="138"/>
        <v>27.92</v>
      </c>
      <c r="DK150" s="386">
        <f t="shared" si="139"/>
        <v>17.92</v>
      </c>
      <c r="DL150" s="199">
        <v>15</v>
      </c>
      <c r="DM150" s="39">
        <v>17.5</v>
      </c>
      <c r="DN150" s="196">
        <f t="shared" si="140"/>
        <v>35.42</v>
      </c>
      <c r="DO150" s="386">
        <f t="shared" si="141"/>
        <v>20.42</v>
      </c>
    </row>
    <row r="151" ht="14.25" customHeight="1" spans="1:119" s="165" customFormat="1" x14ac:dyDescent="0.25">
      <c r="A151" s="393" t="s">
        <v>108</v>
      </c>
      <c r="B151" s="394"/>
      <c r="C151" s="395" t="s">
        <v>1477</v>
      </c>
      <c r="D151" s="273" t="s">
        <v>1217</v>
      </c>
      <c r="E151" s="273" t="s">
        <v>100</v>
      </c>
      <c r="F151" s="274" t="s">
        <v>1391</v>
      </c>
      <c r="G151" s="170">
        <v>46132</v>
      </c>
      <c r="H151" s="274"/>
      <c r="I151" s="170">
        <v>46314</v>
      </c>
      <c r="J151" s="274"/>
      <c r="K151" s="274"/>
      <c r="L151" s="274"/>
      <c r="M151" s="274"/>
      <c r="N151" s="274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86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82">
        <v>10</v>
      </c>
      <c r="DI151" s="174">
        <v>12.5</v>
      </c>
      <c r="DJ151" s="179">
        <f t="shared" si="138"/>
        <v>21.416666666666664</v>
      </c>
      <c r="DK151" s="179">
        <f t="shared" si="139"/>
        <v>11.416666666666664</v>
      </c>
      <c r="DL151" s="182">
        <v>15</v>
      </c>
      <c r="DM151" s="174">
        <v>17.5</v>
      </c>
      <c r="DN151" s="179">
        <f t="shared" si="140"/>
        <v>28.916666666666664</v>
      </c>
      <c r="DO151" s="179">
        <f t="shared" si="141"/>
        <v>13.916666666666664</v>
      </c>
    </row>
    <row r="152" ht="14.25" customHeight="1" spans="1:119" x14ac:dyDescent="0.25">
      <c r="A152" s="372" t="s">
        <v>1219</v>
      </c>
      <c r="B152" s="373"/>
      <c r="C152" s="308" t="s">
        <v>1220</v>
      </c>
      <c r="D152" s="234" t="s">
        <v>1221</v>
      </c>
      <c r="E152" s="234" t="s">
        <v>1478</v>
      </c>
      <c r="F152" s="235" t="s">
        <v>1300</v>
      </c>
      <c r="G152" s="188">
        <v>46146</v>
      </c>
      <c r="H152" s="235"/>
      <c r="I152" s="188"/>
      <c r="J152" s="235"/>
      <c r="K152" s="235"/>
      <c r="L152" s="235"/>
      <c r="M152" s="235"/>
      <c r="N152" s="235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9"/>
      <c r="CH152" s="196">
        <f t="shared" si="130"/>
        <v>0</v>
      </c>
      <c r="CI152" s="333">
        <f t="shared" si="131"/>
        <v>0</v>
      </c>
      <c r="CJ152" s="39"/>
      <c r="CK152" s="369">
        <v>2.5</v>
      </c>
      <c r="CL152" s="333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86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10</v>
      </c>
      <c r="DI152" s="39">
        <v>12.5</v>
      </c>
      <c r="DJ152" s="196">
        <f t="shared" si="138"/>
        <v>25</v>
      </c>
      <c r="DK152" s="196">
        <f t="shared" si="139"/>
        <v>15</v>
      </c>
      <c r="DL152" s="199">
        <v>15</v>
      </c>
      <c r="DM152" s="39">
        <v>17.5</v>
      </c>
      <c r="DN152" s="196">
        <f t="shared" si="140"/>
        <v>32.5</v>
      </c>
      <c r="DO152" s="196">
        <f t="shared" si="141"/>
        <v>17.5</v>
      </c>
    </row>
    <row r="153" ht="14.25" customHeight="1" spans="1:119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  <c r="CM153" s="405"/>
      <c r="CN153" s="406"/>
      <c r="CO153" s="405"/>
      <c r="CP153" s="405"/>
      <c r="CQ153" s="407"/>
      <c r="CR153" s="408"/>
      <c r="CS153" s="405"/>
      <c r="CT153" s="405"/>
      <c r="CU153" s="409"/>
      <c r="CV153" s="408"/>
      <c r="CW153" s="405"/>
      <c r="CX153" s="405"/>
      <c r="CY153" s="405"/>
      <c r="CZ153" s="408"/>
      <c r="DA153" s="405"/>
      <c r="DB153" s="405"/>
      <c r="DC153" s="405"/>
      <c r="DD153" s="408"/>
      <c r="DE153" s="405"/>
      <c r="DF153" s="405"/>
      <c r="DG153" s="405"/>
      <c r="DH153" s="408"/>
      <c r="DI153" s="405"/>
      <c r="DJ153" s="405"/>
      <c r="DK153" s="405"/>
      <c r="DL153" s="408"/>
      <c r="DM153" s="405"/>
      <c r="DN153" s="405"/>
      <c r="DO153" s="405"/>
    </row>
    <row r="154" ht="14.25" customHeight="1" spans="1:119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  <c r="CM154" s="405"/>
      <c r="CN154" s="406"/>
      <c r="CO154" s="405"/>
      <c r="CP154" s="405"/>
      <c r="CQ154" s="407"/>
      <c r="CR154" s="408"/>
      <c r="CS154" s="405"/>
      <c r="CT154" s="405"/>
      <c r="CU154" s="409"/>
      <c r="CV154" s="408"/>
      <c r="CW154" s="405"/>
      <c r="CX154" s="405"/>
      <c r="CY154" s="405"/>
      <c r="CZ154" s="408"/>
      <c r="DA154" s="405"/>
      <c r="DB154" s="405"/>
      <c r="DC154" s="405"/>
      <c r="DD154" s="408"/>
      <c r="DE154" s="405"/>
      <c r="DF154" s="405"/>
      <c r="DG154" s="405"/>
      <c r="DH154" s="408"/>
      <c r="DI154" s="405"/>
      <c r="DJ154" s="405"/>
      <c r="DK154" s="405"/>
      <c r="DL154" s="408"/>
      <c r="DM154" s="405"/>
      <c r="DN154" s="405"/>
      <c r="DO154" s="405"/>
    </row>
    <row r="155" ht="14.25" customHeight="1" spans="1:119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  <c r="CM155" s="405"/>
      <c r="CN155" s="406"/>
      <c r="CO155" s="405"/>
      <c r="CP155" s="405"/>
      <c r="CQ155" s="407"/>
      <c r="CR155" s="408"/>
      <c r="CS155" s="405"/>
      <c r="CT155" s="405"/>
      <c r="CU155" s="409"/>
      <c r="CV155" s="408"/>
      <c r="CW155" s="405"/>
      <c r="CX155" s="405"/>
      <c r="CY155" s="405"/>
      <c r="CZ155" s="408"/>
      <c r="DA155" s="405"/>
      <c r="DB155" s="405"/>
      <c r="DC155" s="405"/>
      <c r="DD155" s="408"/>
      <c r="DE155" s="405"/>
      <c r="DF155" s="405"/>
      <c r="DG155" s="405"/>
      <c r="DH155" s="408"/>
      <c r="DI155" s="405"/>
      <c r="DJ155" s="405"/>
      <c r="DK155" s="405"/>
      <c r="DL155" s="408"/>
      <c r="DM155" s="405"/>
      <c r="DN155" s="405"/>
      <c r="DO155" s="405"/>
    </row>
    <row r="156" ht="14.25" customHeight="1" spans="1:119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  <c r="CM156" s="405"/>
      <c r="CN156" s="406"/>
      <c r="CO156" s="405"/>
      <c r="CP156" s="405"/>
      <c r="CQ156" s="407"/>
      <c r="CR156" s="408"/>
      <c r="CS156" s="405"/>
      <c r="CT156" s="405"/>
      <c r="CU156" s="409"/>
      <c r="CV156" s="408"/>
      <c r="CW156" s="405"/>
      <c r="CX156" s="405"/>
      <c r="CY156" s="405"/>
      <c r="CZ156" s="408"/>
      <c r="DA156" s="405"/>
      <c r="DB156" s="405"/>
      <c r="DC156" s="405"/>
      <c r="DD156" s="408"/>
      <c r="DE156" s="405"/>
      <c r="DF156" s="405"/>
      <c r="DG156" s="405"/>
      <c r="DH156" s="408"/>
      <c r="DI156" s="405"/>
      <c r="DJ156" s="405"/>
      <c r="DK156" s="405"/>
      <c r="DL156" s="408"/>
      <c r="DM156" s="405"/>
      <c r="DN156" s="405"/>
      <c r="DO156" s="405"/>
    </row>
    <row r="157" ht="14.25" customHeight="1" spans="1:119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  <c r="CM157" s="405"/>
      <c r="CN157" s="406"/>
      <c r="CO157" s="405"/>
      <c r="CP157" s="405"/>
      <c r="CQ157" s="407"/>
      <c r="CR157" s="408"/>
      <c r="CS157" s="405"/>
      <c r="CT157" s="405"/>
      <c r="CU157" s="409"/>
      <c r="CV157" s="408"/>
      <c r="CW157" s="405"/>
      <c r="CX157" s="405"/>
      <c r="CY157" s="405"/>
      <c r="CZ157" s="408"/>
      <c r="DA157" s="405"/>
      <c r="DB157" s="405"/>
      <c r="DC157" s="405"/>
      <c r="DD157" s="408"/>
      <c r="DE157" s="405"/>
      <c r="DF157" s="405"/>
      <c r="DG157" s="405"/>
      <c r="DH157" s="408"/>
      <c r="DI157" s="405"/>
      <c r="DJ157" s="405"/>
      <c r="DK157" s="405"/>
      <c r="DL157" s="408"/>
      <c r="DM157" s="405"/>
      <c r="DN157" s="405"/>
      <c r="DO157" s="405"/>
    </row>
    <row r="158" ht="14.25" customHeight="1" spans="1:119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  <c r="CM158" s="405"/>
      <c r="CN158" s="406"/>
      <c r="CO158" s="405"/>
      <c r="CP158" s="405"/>
      <c r="CQ158" s="407"/>
      <c r="CR158" s="408"/>
      <c r="CS158" s="405"/>
      <c r="CT158" s="405"/>
      <c r="CU158" s="409"/>
      <c r="CV158" s="408"/>
      <c r="CW158" s="405"/>
      <c r="CX158" s="405"/>
      <c r="CY158" s="405"/>
      <c r="CZ158" s="408"/>
      <c r="DA158" s="405"/>
      <c r="DB158" s="405"/>
      <c r="DC158" s="405"/>
      <c r="DD158" s="408"/>
      <c r="DE158" s="405"/>
      <c r="DF158" s="405"/>
      <c r="DG158" s="405"/>
      <c r="DH158" s="408"/>
      <c r="DI158" s="405"/>
      <c r="DJ158" s="405"/>
      <c r="DK158" s="405"/>
      <c r="DL158" s="408"/>
      <c r="DM158" s="405"/>
      <c r="DN158" s="405"/>
      <c r="DO158" s="405"/>
    </row>
    <row r="159" ht="14.25" customHeight="1" spans="1:119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  <c r="CM159" s="405"/>
      <c r="CN159" s="406"/>
      <c r="CO159" s="405"/>
      <c r="CP159" s="405"/>
      <c r="CQ159" s="407"/>
      <c r="CR159" s="408"/>
      <c r="CS159" s="405"/>
      <c r="CT159" s="405"/>
      <c r="CU159" s="409"/>
      <c r="CV159" s="408"/>
      <c r="CW159" s="405"/>
      <c r="CX159" s="405"/>
      <c r="CY159" s="405"/>
      <c r="CZ159" s="408"/>
      <c r="DA159" s="405"/>
      <c r="DB159" s="405"/>
      <c r="DC159" s="405"/>
      <c r="DD159" s="408"/>
      <c r="DE159" s="405"/>
      <c r="DF159" s="405"/>
      <c r="DG159" s="405"/>
      <c r="DH159" s="408"/>
      <c r="DI159" s="405"/>
      <c r="DJ159" s="405"/>
      <c r="DK159" s="405"/>
      <c r="DL159" s="408"/>
      <c r="DM159" s="405"/>
      <c r="DN159" s="405"/>
      <c r="DO159" s="405"/>
    </row>
    <row r="160" ht="14.25" customHeight="1" spans="1:119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  <c r="CM160" s="405"/>
      <c r="CN160" s="406"/>
      <c r="CO160" s="405"/>
      <c r="CP160" s="405"/>
      <c r="CQ160" s="407"/>
      <c r="CR160" s="408"/>
      <c r="CS160" s="405"/>
      <c r="CT160" s="405"/>
      <c r="CU160" s="409"/>
      <c r="CV160" s="408"/>
      <c r="CW160" s="405"/>
      <c r="CX160" s="405"/>
      <c r="CY160" s="405"/>
      <c r="CZ160" s="408"/>
      <c r="DA160" s="405"/>
      <c r="DB160" s="405"/>
      <c r="DC160" s="405"/>
      <c r="DD160" s="408"/>
      <c r="DE160" s="405"/>
      <c r="DF160" s="405"/>
      <c r="DG160" s="405"/>
      <c r="DH160" s="408"/>
      <c r="DI160" s="405"/>
      <c r="DJ160" s="405"/>
      <c r="DK160" s="405"/>
      <c r="DL160" s="408"/>
      <c r="DM160" s="405"/>
      <c r="DN160" s="405"/>
      <c r="DO160" s="405"/>
    </row>
    <row r="161" ht="14.25" customHeight="1" spans="1:119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  <c r="CM161" s="405"/>
      <c r="CN161" s="406"/>
      <c r="CO161" s="405"/>
      <c r="CP161" s="405"/>
      <c r="CQ161" s="407"/>
      <c r="CR161" s="408"/>
      <c r="CS161" s="405"/>
      <c r="CT161" s="405"/>
      <c r="CU161" s="409"/>
      <c r="CV161" s="408"/>
      <c r="CW161" s="405"/>
      <c r="CX161" s="405"/>
      <c r="CY161" s="405"/>
      <c r="CZ161" s="408"/>
      <c r="DA161" s="405"/>
      <c r="DB161" s="405"/>
      <c r="DC161" s="405"/>
      <c r="DD161" s="408"/>
      <c r="DE161" s="405"/>
      <c r="DF161" s="405"/>
      <c r="DG161" s="405"/>
      <c r="DH161" s="408"/>
      <c r="DI161" s="405"/>
      <c r="DJ161" s="405"/>
      <c r="DK161" s="405"/>
      <c r="DL161" s="408"/>
      <c r="DM161" s="405"/>
      <c r="DN161" s="405"/>
      <c r="DO161" s="405"/>
    </row>
    <row r="162" ht="14.25" customHeight="1" spans="1:119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  <c r="CM162" s="405"/>
      <c r="CN162" s="406"/>
      <c r="CO162" s="405"/>
      <c r="CP162" s="405"/>
      <c r="CQ162" s="407"/>
      <c r="CR162" s="408"/>
      <c r="CS162" s="405"/>
      <c r="CT162" s="405"/>
      <c r="CU162" s="409"/>
      <c r="CV162" s="408"/>
      <c r="CW162" s="405"/>
      <c r="CX162" s="405"/>
      <c r="CY162" s="405"/>
      <c r="CZ162" s="408"/>
      <c r="DA162" s="405"/>
      <c r="DB162" s="405"/>
      <c r="DC162" s="405"/>
      <c r="DD162" s="408"/>
      <c r="DE162" s="405"/>
      <c r="DF162" s="405"/>
      <c r="DG162" s="405"/>
      <c r="DH162" s="408"/>
      <c r="DI162" s="405"/>
      <c r="DJ162" s="405"/>
      <c r="DK162" s="405"/>
      <c r="DL162" s="408"/>
      <c r="DM162" s="405"/>
      <c r="DN162" s="405"/>
      <c r="DO162" s="405"/>
    </row>
    <row r="163" ht="14.25" customHeight="1" spans="1:119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  <c r="CM163" s="405"/>
      <c r="CN163" s="406"/>
      <c r="CO163" s="405"/>
      <c r="CP163" s="405"/>
      <c r="CQ163" s="407"/>
      <c r="CR163" s="408"/>
      <c r="CS163" s="405"/>
      <c r="CT163" s="405"/>
      <c r="CU163" s="409"/>
      <c r="CV163" s="408"/>
      <c r="CW163" s="405"/>
      <c r="CX163" s="405"/>
      <c r="CY163" s="405"/>
      <c r="CZ163" s="408"/>
      <c r="DA163" s="405"/>
      <c r="DB163" s="405"/>
      <c r="DC163" s="405"/>
      <c r="DD163" s="408"/>
      <c r="DE163" s="405"/>
      <c r="DF163" s="405"/>
      <c r="DG163" s="405"/>
      <c r="DH163" s="408"/>
      <c r="DI163" s="405"/>
      <c r="DJ163" s="405"/>
      <c r="DK163" s="405"/>
      <c r="DL163" s="408"/>
      <c r="DM163" s="405"/>
      <c r="DN163" s="405"/>
      <c r="DO163" s="405"/>
    </row>
    <row r="164" ht="14.25" customHeight="1" spans="1:119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  <c r="CM164" s="405"/>
      <c r="CN164" s="406"/>
      <c r="CO164" s="405"/>
      <c r="CP164" s="405"/>
      <c r="CQ164" s="407"/>
      <c r="CR164" s="408"/>
      <c r="CS164" s="405"/>
      <c r="CT164" s="405"/>
      <c r="CU164" s="409"/>
      <c r="CV164" s="408"/>
      <c r="CW164" s="405"/>
      <c r="CX164" s="405"/>
      <c r="CY164" s="405"/>
      <c r="CZ164" s="408"/>
      <c r="DA164" s="405"/>
      <c r="DB164" s="405"/>
      <c r="DC164" s="405"/>
      <c r="DD164" s="408"/>
      <c r="DE164" s="405"/>
      <c r="DF164" s="405"/>
      <c r="DG164" s="405"/>
      <c r="DH164" s="408"/>
      <c r="DI164" s="405"/>
      <c r="DJ164" s="405"/>
      <c r="DK164" s="405"/>
      <c r="DL164" s="408"/>
      <c r="DM164" s="405"/>
      <c r="DN164" s="405"/>
      <c r="DO164" s="405"/>
    </row>
    <row r="165" ht="14.25" customHeight="1" spans="1:119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  <c r="CM165" s="405"/>
      <c r="CN165" s="406"/>
      <c r="CO165" s="405"/>
      <c r="CP165" s="405"/>
      <c r="CQ165" s="407"/>
      <c r="CR165" s="408"/>
      <c r="CS165" s="405"/>
      <c r="CT165" s="405"/>
      <c r="CU165" s="409"/>
      <c r="CV165" s="408"/>
      <c r="CW165" s="405"/>
      <c r="CX165" s="405"/>
      <c r="CY165" s="405"/>
      <c r="CZ165" s="408"/>
      <c r="DA165" s="405"/>
      <c r="DB165" s="405"/>
      <c r="DC165" s="405"/>
      <c r="DD165" s="408"/>
      <c r="DE165" s="405"/>
      <c r="DF165" s="405"/>
      <c r="DG165" s="405"/>
      <c r="DH165" s="408"/>
      <c r="DI165" s="405"/>
      <c r="DJ165" s="405"/>
      <c r="DK165" s="405"/>
      <c r="DL165" s="408"/>
      <c r="DM165" s="405"/>
      <c r="DN165" s="405"/>
      <c r="DO165" s="405"/>
    </row>
    <row r="166" ht="14.25" customHeight="1" spans="1:119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  <c r="CM166" s="405"/>
      <c r="CN166" s="406"/>
      <c r="CO166" s="405"/>
      <c r="CP166" s="405"/>
      <c r="CQ166" s="407"/>
      <c r="CR166" s="408"/>
      <c r="CS166" s="405"/>
      <c r="CT166" s="405"/>
      <c r="CU166" s="409"/>
      <c r="CV166" s="408"/>
      <c r="CW166" s="405"/>
      <c r="CX166" s="405"/>
      <c r="CY166" s="405"/>
      <c r="CZ166" s="408"/>
      <c r="DA166" s="405"/>
      <c r="DB166" s="405"/>
      <c r="DC166" s="405"/>
      <c r="DD166" s="408"/>
      <c r="DE166" s="405"/>
      <c r="DF166" s="405"/>
      <c r="DG166" s="405"/>
      <c r="DH166" s="408"/>
      <c r="DI166" s="405"/>
      <c r="DJ166" s="405"/>
      <c r="DK166" s="405"/>
      <c r="DL166" s="408"/>
      <c r="DM166" s="405"/>
      <c r="DN166" s="405"/>
      <c r="DO166" s="405"/>
    </row>
    <row r="167" ht="14.25" customHeight="1" spans="1:119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  <c r="CM167" s="405"/>
      <c r="CN167" s="406"/>
      <c r="CO167" s="405"/>
      <c r="CP167" s="405"/>
      <c r="CQ167" s="407"/>
      <c r="CR167" s="408"/>
      <c r="CS167" s="405"/>
      <c r="CT167" s="405"/>
      <c r="CU167" s="409"/>
      <c r="CV167" s="408"/>
      <c r="CW167" s="405"/>
      <c r="CX167" s="405"/>
      <c r="CY167" s="405"/>
      <c r="CZ167" s="408"/>
      <c r="DA167" s="405"/>
      <c r="DB167" s="405"/>
      <c r="DC167" s="405"/>
      <c r="DD167" s="408"/>
      <c r="DE167" s="405"/>
      <c r="DF167" s="405"/>
      <c r="DG167" s="405"/>
      <c r="DH167" s="408"/>
      <c r="DI167" s="405"/>
      <c r="DJ167" s="405"/>
      <c r="DK167" s="405"/>
      <c r="DL167" s="408"/>
      <c r="DM167" s="405"/>
      <c r="DN167" s="405"/>
      <c r="DO167" s="405"/>
    </row>
    <row r="168" ht="14.25" customHeight="1" spans="1:119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  <c r="CM168" s="405"/>
      <c r="CN168" s="406"/>
      <c r="CO168" s="405"/>
      <c r="CP168" s="405"/>
      <c r="CQ168" s="407"/>
      <c r="CR168" s="408"/>
      <c r="CS168" s="405"/>
      <c r="CT168" s="405"/>
      <c r="CU168" s="409"/>
      <c r="CV168" s="408"/>
      <c r="CW168" s="405"/>
      <c r="CX168" s="405"/>
      <c r="CY168" s="405"/>
      <c r="CZ168" s="408"/>
      <c r="DA168" s="405"/>
      <c r="DB168" s="405"/>
      <c r="DC168" s="405"/>
      <c r="DD168" s="408"/>
      <c r="DE168" s="405"/>
      <c r="DF168" s="405"/>
      <c r="DG168" s="405"/>
      <c r="DH168" s="408"/>
      <c r="DI168" s="405"/>
      <c r="DJ168" s="405"/>
      <c r="DK168" s="405"/>
      <c r="DL168" s="408"/>
      <c r="DM168" s="405"/>
      <c r="DN168" s="405"/>
      <c r="DO168" s="405"/>
    </row>
    <row r="169" ht="14.25" customHeight="1" spans="1:119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  <c r="CM169" s="405"/>
      <c r="CN169" s="406"/>
      <c r="CO169" s="405"/>
      <c r="CP169" s="405"/>
      <c r="CQ169" s="407"/>
      <c r="CR169" s="408"/>
      <c r="CS169" s="405"/>
      <c r="CT169" s="405"/>
      <c r="CU169" s="409"/>
      <c r="CV169" s="408"/>
      <c r="CW169" s="405"/>
      <c r="CX169" s="405"/>
      <c r="CY169" s="405"/>
      <c r="CZ169" s="408"/>
      <c r="DA169" s="405"/>
      <c r="DB169" s="405"/>
      <c r="DC169" s="405"/>
      <c r="DD169" s="408"/>
      <c r="DE169" s="405"/>
      <c r="DF169" s="405"/>
      <c r="DG169" s="405"/>
      <c r="DH169" s="408"/>
      <c r="DI169" s="405"/>
      <c r="DJ169" s="405"/>
      <c r="DK169" s="405"/>
      <c r="DL169" s="408"/>
      <c r="DM169" s="405"/>
      <c r="DN169" s="405"/>
      <c r="DO169" s="405"/>
    </row>
    <row r="170" ht="14.25" customHeight="1" spans="1:119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  <c r="CM170" s="405"/>
      <c r="CN170" s="406"/>
      <c r="CO170" s="405"/>
      <c r="CP170" s="405"/>
      <c r="CQ170" s="407"/>
      <c r="CR170" s="408"/>
      <c r="CS170" s="405"/>
      <c r="CT170" s="405"/>
      <c r="CU170" s="409"/>
      <c r="CV170" s="408"/>
      <c r="CW170" s="405"/>
      <c r="CX170" s="405"/>
      <c r="CY170" s="405"/>
      <c r="CZ170" s="408"/>
      <c r="DA170" s="405"/>
      <c r="DB170" s="405"/>
      <c r="DC170" s="405"/>
      <c r="DD170" s="408"/>
      <c r="DE170" s="405"/>
      <c r="DF170" s="405"/>
      <c r="DG170" s="405"/>
      <c r="DH170" s="408"/>
      <c r="DI170" s="405"/>
      <c r="DJ170" s="405"/>
      <c r="DK170" s="405"/>
      <c r="DL170" s="408"/>
      <c r="DM170" s="405"/>
      <c r="DN170" s="405"/>
      <c r="DO170" s="405"/>
    </row>
    <row r="171" ht="14.25" customHeight="1" spans="1:119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  <c r="CM171" s="405"/>
      <c r="CN171" s="406"/>
      <c r="CO171" s="405"/>
      <c r="CP171" s="405"/>
      <c r="CQ171" s="407"/>
      <c r="CR171" s="408"/>
      <c r="CS171" s="405"/>
      <c r="CT171" s="405"/>
      <c r="CU171" s="409"/>
      <c r="CV171" s="408"/>
      <c r="CW171" s="405"/>
      <c r="CX171" s="405"/>
      <c r="CY171" s="405"/>
      <c r="CZ171" s="408"/>
      <c r="DA171" s="405"/>
      <c r="DB171" s="405"/>
      <c r="DC171" s="405"/>
      <c r="DD171" s="408"/>
      <c r="DE171" s="405"/>
      <c r="DF171" s="405"/>
      <c r="DG171" s="405"/>
      <c r="DH171" s="408"/>
      <c r="DI171" s="405"/>
      <c r="DJ171" s="405"/>
      <c r="DK171" s="405"/>
      <c r="DL171" s="408"/>
      <c r="DM171" s="405"/>
      <c r="DN171" s="405"/>
      <c r="DO171" s="405"/>
    </row>
    <row r="172" ht="14.25" customHeight="1" spans="1:119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  <c r="CM172" s="405"/>
      <c r="CN172" s="406"/>
      <c r="CO172" s="405"/>
      <c r="CP172" s="405"/>
      <c r="CQ172" s="407"/>
      <c r="CR172" s="408"/>
      <c r="CS172" s="405"/>
      <c r="CT172" s="405"/>
      <c r="CU172" s="409"/>
      <c r="CV172" s="408"/>
      <c r="CW172" s="405"/>
      <c r="CX172" s="405"/>
      <c r="CY172" s="405"/>
      <c r="CZ172" s="408"/>
      <c r="DA172" s="405"/>
      <c r="DB172" s="405"/>
      <c r="DC172" s="405"/>
      <c r="DD172" s="408"/>
      <c r="DE172" s="405"/>
      <c r="DF172" s="405"/>
      <c r="DG172" s="405"/>
      <c r="DH172" s="408"/>
      <c r="DI172" s="405"/>
      <c r="DJ172" s="405"/>
      <c r="DK172" s="405"/>
      <c r="DL172" s="408"/>
      <c r="DM172" s="405"/>
      <c r="DN172" s="405"/>
      <c r="DO172" s="405"/>
    </row>
    <row r="173" ht="14.25" customHeight="1" spans="1:119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  <c r="CM173" s="405"/>
      <c r="CN173" s="406"/>
      <c r="CO173" s="405"/>
      <c r="CP173" s="405"/>
      <c r="CQ173" s="407"/>
      <c r="CR173" s="408"/>
      <c r="CS173" s="405"/>
      <c r="CT173" s="405"/>
      <c r="CU173" s="409"/>
      <c r="CV173" s="408"/>
      <c r="CW173" s="405"/>
      <c r="CX173" s="405"/>
      <c r="CY173" s="405"/>
      <c r="CZ173" s="408"/>
      <c r="DA173" s="405"/>
      <c r="DB173" s="405"/>
      <c r="DC173" s="405"/>
      <c r="DD173" s="408"/>
      <c r="DE173" s="405"/>
      <c r="DF173" s="405"/>
      <c r="DG173" s="405"/>
      <c r="DH173" s="408"/>
      <c r="DI173" s="405"/>
      <c r="DJ173" s="405"/>
      <c r="DK173" s="405"/>
      <c r="DL173" s="408"/>
      <c r="DM173" s="405"/>
      <c r="DN173" s="405"/>
      <c r="DO173" s="405"/>
    </row>
    <row r="174" ht="14.25" customHeight="1" spans="1:119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  <c r="CM174" s="405"/>
      <c r="CN174" s="406"/>
      <c r="CO174" s="405"/>
      <c r="CP174" s="405"/>
      <c r="CQ174" s="407"/>
      <c r="CR174" s="408"/>
      <c r="CS174" s="405"/>
      <c r="CT174" s="405"/>
      <c r="CU174" s="409"/>
      <c r="CV174" s="408"/>
      <c r="CW174" s="405"/>
      <c r="CX174" s="405"/>
      <c r="CY174" s="405"/>
      <c r="CZ174" s="408"/>
      <c r="DA174" s="405"/>
      <c r="DB174" s="405"/>
      <c r="DC174" s="405"/>
      <c r="DD174" s="408"/>
      <c r="DE174" s="405"/>
      <c r="DF174" s="405"/>
      <c r="DG174" s="405"/>
      <c r="DH174" s="408"/>
      <c r="DI174" s="405"/>
      <c r="DJ174" s="405"/>
      <c r="DK174" s="405"/>
      <c r="DL174" s="408"/>
      <c r="DM174" s="405"/>
      <c r="DN174" s="405"/>
      <c r="DO174" s="405"/>
    </row>
    <row r="175" ht="14.25" customHeight="1" spans="1:119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  <c r="CM175" s="405"/>
      <c r="CN175" s="406"/>
      <c r="CO175" s="405"/>
      <c r="CP175" s="405"/>
      <c r="CQ175" s="407"/>
      <c r="CR175" s="408"/>
      <c r="CS175" s="405"/>
      <c r="CT175" s="405"/>
      <c r="CU175" s="409"/>
      <c r="CV175" s="408"/>
      <c r="CW175" s="405"/>
      <c r="CX175" s="405"/>
      <c r="CY175" s="405"/>
      <c r="CZ175" s="408"/>
      <c r="DA175" s="405"/>
      <c r="DB175" s="405"/>
      <c r="DC175" s="405"/>
      <c r="DD175" s="408"/>
      <c r="DE175" s="405"/>
      <c r="DF175" s="405"/>
      <c r="DG175" s="405"/>
      <c r="DH175" s="408"/>
      <c r="DI175" s="405"/>
      <c r="DJ175" s="405"/>
      <c r="DK175" s="405"/>
      <c r="DL175" s="408"/>
      <c r="DM175" s="405"/>
      <c r="DN175" s="405"/>
      <c r="DO175" s="405"/>
    </row>
    <row r="176" ht="14.25" customHeight="1" spans="1:119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  <c r="CM176" s="405"/>
      <c r="CN176" s="406"/>
      <c r="CO176" s="405"/>
      <c r="CP176" s="405"/>
      <c r="CQ176" s="407"/>
      <c r="CR176" s="408"/>
      <c r="CS176" s="405"/>
      <c r="CT176" s="405"/>
      <c r="CU176" s="409"/>
      <c r="CV176" s="408"/>
      <c r="CW176" s="405"/>
      <c r="CX176" s="405"/>
      <c r="CY176" s="405"/>
      <c r="CZ176" s="408"/>
      <c r="DA176" s="405"/>
      <c r="DB176" s="405"/>
      <c r="DC176" s="405"/>
      <c r="DD176" s="408"/>
      <c r="DE176" s="405"/>
      <c r="DF176" s="405"/>
      <c r="DG176" s="405"/>
      <c r="DH176" s="408"/>
      <c r="DI176" s="405"/>
      <c r="DJ176" s="405"/>
      <c r="DK176" s="405"/>
      <c r="DL176" s="408"/>
      <c r="DM176" s="405"/>
      <c r="DN176" s="405"/>
      <c r="DO176" s="405"/>
    </row>
    <row r="177" ht="14.25" customHeight="1" spans="1:119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  <c r="CM177" s="405"/>
      <c r="CN177" s="406"/>
      <c r="CO177" s="405"/>
      <c r="CP177" s="405"/>
      <c r="CQ177" s="407"/>
      <c r="CR177" s="408"/>
      <c r="CS177" s="405"/>
      <c r="CT177" s="405"/>
      <c r="CU177" s="409"/>
      <c r="CV177" s="408"/>
      <c r="CW177" s="405"/>
      <c r="CX177" s="405"/>
      <c r="CY177" s="405"/>
      <c r="CZ177" s="408"/>
      <c r="DA177" s="405"/>
      <c r="DB177" s="405"/>
      <c r="DC177" s="405"/>
      <c r="DD177" s="408"/>
      <c r="DE177" s="405"/>
      <c r="DF177" s="405"/>
      <c r="DG177" s="405"/>
      <c r="DH177" s="408"/>
      <c r="DI177" s="405"/>
      <c r="DJ177" s="405"/>
      <c r="DK177" s="405"/>
      <c r="DL177" s="408"/>
      <c r="DM177" s="405"/>
      <c r="DN177" s="405"/>
      <c r="DO177" s="405"/>
    </row>
    <row r="178" ht="14.25" customHeight="1" spans="1:119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  <c r="CM178" s="405"/>
      <c r="CN178" s="406"/>
      <c r="CO178" s="405"/>
      <c r="CP178" s="405"/>
      <c r="CQ178" s="407"/>
      <c r="CR178" s="408"/>
      <c r="CS178" s="405"/>
      <c r="CT178" s="405"/>
      <c r="CU178" s="409"/>
      <c r="CV178" s="408"/>
      <c r="CW178" s="405"/>
      <c r="CX178" s="405"/>
      <c r="CY178" s="405"/>
      <c r="CZ178" s="408"/>
      <c r="DA178" s="405"/>
      <c r="DB178" s="405"/>
      <c r="DC178" s="405"/>
      <c r="DD178" s="408"/>
      <c r="DE178" s="405"/>
      <c r="DF178" s="405"/>
      <c r="DG178" s="405"/>
      <c r="DH178" s="408"/>
      <c r="DI178" s="405"/>
      <c r="DJ178" s="405"/>
      <c r="DK178" s="405"/>
      <c r="DL178" s="408"/>
      <c r="DM178" s="405"/>
      <c r="DN178" s="405"/>
      <c r="DO178" s="405"/>
    </row>
    <row r="179" ht="14.25" customHeight="1" spans="1:119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  <c r="CM179" s="405"/>
      <c r="CN179" s="406"/>
      <c r="CO179" s="405"/>
      <c r="CP179" s="405"/>
      <c r="CQ179" s="407"/>
      <c r="CR179" s="408"/>
      <c r="CS179" s="405"/>
      <c r="CT179" s="405"/>
      <c r="CU179" s="409"/>
      <c r="CV179" s="408"/>
      <c r="CW179" s="405"/>
      <c r="CX179" s="405"/>
      <c r="CY179" s="405"/>
      <c r="CZ179" s="408"/>
      <c r="DA179" s="405"/>
      <c r="DB179" s="405"/>
      <c r="DC179" s="405"/>
      <c r="DD179" s="408"/>
      <c r="DE179" s="405"/>
      <c r="DF179" s="405"/>
      <c r="DG179" s="405"/>
      <c r="DH179" s="408"/>
      <c r="DI179" s="405"/>
      <c r="DJ179" s="405"/>
      <c r="DK179" s="405"/>
      <c r="DL179" s="408"/>
      <c r="DM179" s="405"/>
      <c r="DN179" s="405"/>
      <c r="DO179" s="405"/>
    </row>
    <row r="180" ht="14.25" customHeight="1" spans="1:119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  <c r="CM180" s="405"/>
      <c r="CN180" s="406"/>
      <c r="CO180" s="405"/>
      <c r="CP180" s="405"/>
      <c r="CQ180" s="407"/>
      <c r="CR180" s="408"/>
      <c r="CS180" s="405"/>
      <c r="CT180" s="405"/>
      <c r="CU180" s="409"/>
      <c r="CV180" s="408"/>
      <c r="CW180" s="405"/>
      <c r="CX180" s="405"/>
      <c r="CY180" s="405"/>
      <c r="CZ180" s="408"/>
      <c r="DA180" s="405"/>
      <c r="DB180" s="405"/>
      <c r="DC180" s="405"/>
      <c r="DD180" s="408"/>
      <c r="DE180" s="405"/>
      <c r="DF180" s="405"/>
      <c r="DG180" s="405"/>
      <c r="DH180" s="408"/>
      <c r="DI180" s="405"/>
      <c r="DJ180" s="405"/>
      <c r="DK180" s="405"/>
      <c r="DL180" s="408"/>
      <c r="DM180" s="405"/>
      <c r="DN180" s="405"/>
      <c r="DO180" s="405"/>
    </row>
    <row r="181" ht="14.25" customHeight="1" spans="1:119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  <c r="CM181" s="405"/>
      <c r="CN181" s="406"/>
      <c r="CO181" s="405"/>
      <c r="CP181" s="405"/>
      <c r="CQ181" s="407"/>
      <c r="CR181" s="408"/>
      <c r="CS181" s="405"/>
      <c r="CT181" s="405"/>
      <c r="CU181" s="409"/>
      <c r="CV181" s="408"/>
      <c r="CW181" s="405"/>
      <c r="CX181" s="405"/>
      <c r="CY181" s="405"/>
      <c r="CZ181" s="408"/>
      <c r="DA181" s="405"/>
      <c r="DB181" s="405"/>
      <c r="DC181" s="405"/>
      <c r="DD181" s="408"/>
      <c r="DE181" s="405"/>
      <c r="DF181" s="405"/>
      <c r="DG181" s="405"/>
      <c r="DH181" s="408"/>
      <c r="DI181" s="405"/>
      <c r="DJ181" s="405"/>
      <c r="DK181" s="405"/>
      <c r="DL181" s="408"/>
      <c r="DM181" s="405"/>
      <c r="DN181" s="405"/>
      <c r="DO181" s="405"/>
    </row>
    <row r="182" ht="14.25" customHeight="1" spans="1:119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  <c r="CM182" s="405"/>
      <c r="CN182" s="406"/>
      <c r="CO182" s="405"/>
      <c r="CP182" s="405"/>
      <c r="CQ182" s="407"/>
      <c r="CR182" s="408"/>
      <c r="CS182" s="405"/>
      <c r="CT182" s="405"/>
      <c r="CU182" s="409"/>
      <c r="CV182" s="408"/>
      <c r="CW182" s="405"/>
      <c r="CX182" s="405"/>
      <c r="CY182" s="405"/>
      <c r="CZ182" s="408"/>
      <c r="DA182" s="405"/>
      <c r="DB182" s="405"/>
      <c r="DC182" s="405"/>
      <c r="DD182" s="408"/>
      <c r="DE182" s="405"/>
      <c r="DF182" s="405"/>
      <c r="DG182" s="405"/>
      <c r="DH182" s="408"/>
      <c r="DI182" s="405"/>
      <c r="DJ182" s="405"/>
      <c r="DK182" s="405"/>
      <c r="DL182" s="408"/>
      <c r="DM182" s="405"/>
      <c r="DN182" s="405"/>
      <c r="DO182" s="405"/>
    </row>
    <row r="183" ht="14.25" customHeight="1" spans="1:119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  <c r="CM183" s="405"/>
      <c r="CN183" s="406"/>
      <c r="CO183" s="405"/>
      <c r="CP183" s="405"/>
      <c r="CQ183" s="407"/>
      <c r="CR183" s="408"/>
      <c r="CS183" s="405"/>
      <c r="CT183" s="405"/>
      <c r="CU183" s="409"/>
      <c r="CV183" s="408"/>
      <c r="CW183" s="405"/>
      <c r="CX183" s="405"/>
      <c r="CY183" s="405"/>
      <c r="CZ183" s="408"/>
      <c r="DA183" s="405"/>
      <c r="DB183" s="405"/>
      <c r="DC183" s="405"/>
      <c r="DD183" s="408"/>
      <c r="DE183" s="405"/>
      <c r="DF183" s="405"/>
      <c r="DG183" s="405"/>
      <c r="DH183" s="408"/>
      <c r="DI183" s="405"/>
      <c r="DJ183" s="405"/>
      <c r="DK183" s="405"/>
      <c r="DL183" s="408"/>
      <c r="DM183" s="405"/>
      <c r="DN183" s="405"/>
      <c r="DO183" s="405"/>
    </row>
    <row r="184" ht="14.25" customHeight="1" spans="1:119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  <c r="CM184" s="405"/>
      <c r="CN184" s="406"/>
      <c r="CO184" s="405"/>
      <c r="CP184" s="405"/>
      <c r="CQ184" s="407"/>
      <c r="CR184" s="408"/>
      <c r="CS184" s="405"/>
      <c r="CT184" s="405"/>
      <c r="CU184" s="409"/>
      <c r="CV184" s="408"/>
      <c r="CW184" s="405"/>
      <c r="CX184" s="405"/>
      <c r="CY184" s="405"/>
      <c r="CZ184" s="408"/>
      <c r="DA184" s="405"/>
      <c r="DB184" s="405"/>
      <c r="DC184" s="405"/>
      <c r="DD184" s="408"/>
      <c r="DE184" s="405"/>
      <c r="DF184" s="405"/>
      <c r="DG184" s="405"/>
      <c r="DH184" s="408"/>
      <c r="DI184" s="405"/>
      <c r="DJ184" s="405"/>
      <c r="DK184" s="405"/>
      <c r="DL184" s="408"/>
      <c r="DM184" s="405"/>
      <c r="DN184" s="405"/>
      <c r="DO184" s="405"/>
    </row>
    <row r="185" ht="14.25" customHeight="1" spans="1:119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  <c r="CM185" s="405"/>
      <c r="CN185" s="406"/>
      <c r="CO185" s="405"/>
      <c r="CP185" s="405"/>
      <c r="CQ185" s="407"/>
      <c r="CR185" s="408"/>
      <c r="CS185" s="405"/>
      <c r="CT185" s="405"/>
      <c r="CU185" s="409"/>
      <c r="CV185" s="408"/>
      <c r="CW185" s="405"/>
      <c r="CX185" s="405"/>
      <c r="CY185" s="405"/>
      <c r="CZ185" s="408"/>
      <c r="DA185" s="405"/>
      <c r="DB185" s="405"/>
      <c r="DC185" s="405"/>
      <c r="DD185" s="408"/>
      <c r="DE185" s="405"/>
      <c r="DF185" s="405"/>
      <c r="DG185" s="405"/>
      <c r="DH185" s="408"/>
      <c r="DI185" s="405"/>
      <c r="DJ185" s="405"/>
      <c r="DK185" s="405"/>
      <c r="DL185" s="408"/>
      <c r="DM185" s="405"/>
      <c r="DN185" s="405"/>
      <c r="DO185" s="405"/>
    </row>
    <row r="186" ht="14.25" customHeight="1" spans="1:119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  <c r="CM186" s="405"/>
      <c r="CN186" s="406"/>
      <c r="CO186" s="405"/>
      <c r="CP186" s="405"/>
      <c r="CQ186" s="407"/>
      <c r="CR186" s="408"/>
      <c r="CS186" s="405"/>
      <c r="CT186" s="405"/>
      <c r="CU186" s="409"/>
      <c r="CV186" s="408"/>
      <c r="CW186" s="405"/>
      <c r="CX186" s="405"/>
      <c r="CY186" s="405"/>
      <c r="CZ186" s="408"/>
      <c r="DA186" s="405"/>
      <c r="DB186" s="405"/>
      <c r="DC186" s="405"/>
      <c r="DD186" s="408"/>
      <c r="DE186" s="405"/>
      <c r="DF186" s="405"/>
      <c r="DG186" s="405"/>
      <c r="DH186" s="408"/>
      <c r="DI186" s="405"/>
      <c r="DJ186" s="405"/>
      <c r="DK186" s="405"/>
      <c r="DL186" s="408"/>
      <c r="DM186" s="405"/>
      <c r="DN186" s="405"/>
      <c r="DO186" s="405"/>
    </row>
    <row r="187" ht="14.25" customHeight="1" spans="1:119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  <c r="CM187" s="405"/>
      <c r="CN187" s="406"/>
      <c r="CO187" s="405"/>
      <c r="CP187" s="405"/>
      <c r="CQ187" s="407"/>
      <c r="CR187" s="408"/>
      <c r="CS187" s="405"/>
      <c r="CT187" s="405"/>
      <c r="CU187" s="409"/>
      <c r="CV187" s="408"/>
      <c r="CW187" s="405"/>
      <c r="CX187" s="405"/>
      <c r="CY187" s="405"/>
      <c r="CZ187" s="408"/>
      <c r="DA187" s="405"/>
      <c r="DB187" s="405"/>
      <c r="DC187" s="405"/>
      <c r="DD187" s="408"/>
      <c r="DE187" s="405"/>
      <c r="DF187" s="405"/>
      <c r="DG187" s="405"/>
      <c r="DH187" s="408"/>
      <c r="DI187" s="405"/>
      <c r="DJ187" s="405"/>
      <c r="DK187" s="405"/>
      <c r="DL187" s="408"/>
      <c r="DM187" s="405"/>
      <c r="DN187" s="405"/>
      <c r="DO187" s="405"/>
    </row>
    <row r="188" ht="14.25" customHeight="1" spans="1:119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  <c r="CM188" s="405"/>
      <c r="CN188" s="406"/>
      <c r="CO188" s="405"/>
      <c r="CP188" s="405"/>
      <c r="CQ188" s="407"/>
      <c r="CR188" s="408"/>
      <c r="CS188" s="405"/>
      <c r="CT188" s="405"/>
      <c r="CU188" s="409"/>
      <c r="CV188" s="408"/>
      <c r="CW188" s="405"/>
      <c r="CX188" s="405"/>
      <c r="CY188" s="405"/>
      <c r="CZ188" s="408"/>
      <c r="DA188" s="405"/>
      <c r="DB188" s="405"/>
      <c r="DC188" s="405"/>
      <c r="DD188" s="408"/>
      <c r="DE188" s="405"/>
      <c r="DF188" s="405"/>
      <c r="DG188" s="405"/>
      <c r="DH188" s="408"/>
      <c r="DI188" s="405"/>
      <c r="DJ188" s="405"/>
      <c r="DK188" s="405"/>
      <c r="DL188" s="408"/>
      <c r="DM188" s="405"/>
      <c r="DN188" s="405"/>
      <c r="DO188" s="405"/>
    </row>
    <row r="189" ht="14.25" customHeight="1" spans="1:119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  <c r="CM189" s="405"/>
      <c r="CN189" s="406"/>
      <c r="CO189" s="405"/>
      <c r="CP189" s="405"/>
      <c r="CQ189" s="407"/>
      <c r="CR189" s="408"/>
      <c r="CS189" s="405"/>
      <c r="CT189" s="405"/>
      <c r="CU189" s="409"/>
      <c r="CV189" s="408"/>
      <c r="CW189" s="405"/>
      <c r="CX189" s="405"/>
      <c r="CY189" s="405"/>
      <c r="CZ189" s="408"/>
      <c r="DA189" s="405"/>
      <c r="DB189" s="405"/>
      <c r="DC189" s="405"/>
      <c r="DD189" s="408"/>
      <c r="DE189" s="405"/>
      <c r="DF189" s="405"/>
      <c r="DG189" s="405"/>
      <c r="DH189" s="408"/>
      <c r="DI189" s="405"/>
      <c r="DJ189" s="405"/>
      <c r="DK189" s="405"/>
      <c r="DL189" s="408"/>
      <c r="DM189" s="405"/>
      <c r="DN189" s="405"/>
      <c r="DO189" s="405"/>
    </row>
    <row r="190" ht="14.25" customHeight="1" spans="1:119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  <c r="CM190" s="405"/>
      <c r="CN190" s="406"/>
      <c r="CO190" s="405"/>
      <c r="CP190" s="405"/>
      <c r="CQ190" s="407"/>
      <c r="CR190" s="408"/>
      <c r="CS190" s="405"/>
      <c r="CT190" s="405"/>
      <c r="CU190" s="409"/>
      <c r="CV190" s="408"/>
      <c r="CW190" s="405"/>
      <c r="CX190" s="405"/>
      <c r="CY190" s="405"/>
      <c r="CZ190" s="408"/>
      <c r="DA190" s="405"/>
      <c r="DB190" s="405"/>
      <c r="DC190" s="405"/>
      <c r="DD190" s="408"/>
      <c r="DE190" s="405"/>
      <c r="DF190" s="405"/>
      <c r="DG190" s="405"/>
      <c r="DH190" s="408"/>
      <c r="DI190" s="405"/>
      <c r="DJ190" s="405"/>
      <c r="DK190" s="405"/>
      <c r="DL190" s="408"/>
      <c r="DM190" s="405"/>
      <c r="DN190" s="405"/>
      <c r="DO190" s="405"/>
    </row>
    <row r="191" ht="14.25" customHeight="1" spans="1:119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  <c r="CM191" s="405"/>
      <c r="CN191" s="406"/>
      <c r="CO191" s="405"/>
      <c r="CP191" s="405"/>
      <c r="CQ191" s="407"/>
      <c r="CR191" s="408"/>
      <c r="CS191" s="405"/>
      <c r="CT191" s="405"/>
      <c r="CU191" s="409"/>
      <c r="CV191" s="408"/>
      <c r="CW191" s="405"/>
      <c r="CX191" s="405"/>
      <c r="CY191" s="405"/>
      <c r="CZ191" s="408"/>
      <c r="DA191" s="405"/>
      <c r="DB191" s="405"/>
      <c r="DC191" s="405"/>
      <c r="DD191" s="408"/>
      <c r="DE191" s="405"/>
      <c r="DF191" s="405"/>
      <c r="DG191" s="405"/>
      <c r="DH191" s="408"/>
      <c r="DI191" s="405"/>
      <c r="DJ191" s="405"/>
      <c r="DK191" s="405"/>
      <c r="DL191" s="408"/>
      <c r="DM191" s="405"/>
      <c r="DN191" s="405"/>
      <c r="DO191" s="405"/>
    </row>
    <row r="192" ht="14.25" customHeight="1" spans="1:119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  <c r="CM192" s="405"/>
      <c r="CN192" s="406"/>
      <c r="CO192" s="405"/>
      <c r="CP192" s="405"/>
      <c r="CQ192" s="407"/>
      <c r="CR192" s="408"/>
      <c r="CS192" s="405"/>
      <c r="CT192" s="405"/>
      <c r="CU192" s="409"/>
      <c r="CV192" s="408"/>
      <c r="CW192" s="405"/>
      <c r="CX192" s="405"/>
      <c r="CY192" s="405"/>
      <c r="CZ192" s="408"/>
      <c r="DA192" s="405"/>
      <c r="DB192" s="405"/>
      <c r="DC192" s="405"/>
      <c r="DD192" s="408"/>
      <c r="DE192" s="405"/>
      <c r="DF192" s="405"/>
      <c r="DG192" s="405"/>
      <c r="DH192" s="408"/>
      <c r="DI192" s="405"/>
      <c r="DJ192" s="405"/>
      <c r="DK192" s="405"/>
      <c r="DL192" s="408"/>
      <c r="DM192" s="405"/>
      <c r="DN192" s="405"/>
      <c r="DO192" s="405"/>
    </row>
    <row r="193" ht="14.25" customHeight="1" spans="1:119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  <c r="CM193" s="405"/>
      <c r="CN193" s="406"/>
      <c r="CO193" s="405"/>
      <c r="CP193" s="405"/>
      <c r="CQ193" s="407"/>
      <c r="CR193" s="408"/>
      <c r="CS193" s="405"/>
      <c r="CT193" s="405"/>
      <c r="CU193" s="409"/>
      <c r="CV193" s="408"/>
      <c r="CW193" s="405"/>
      <c r="CX193" s="405"/>
      <c r="CY193" s="405"/>
      <c r="CZ193" s="408"/>
      <c r="DA193" s="405"/>
      <c r="DB193" s="405"/>
      <c r="DC193" s="405"/>
      <c r="DD193" s="408"/>
      <c r="DE193" s="405"/>
      <c r="DF193" s="405"/>
      <c r="DG193" s="405"/>
      <c r="DH193" s="408"/>
      <c r="DI193" s="405"/>
      <c r="DJ193" s="405"/>
      <c r="DK193" s="405"/>
      <c r="DL193" s="408"/>
      <c r="DM193" s="405"/>
      <c r="DN193" s="405"/>
      <c r="DO193" s="405"/>
    </row>
    <row r="194" ht="14.25" customHeight="1" spans="1:119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  <c r="CM194" s="405"/>
      <c r="CN194" s="406"/>
      <c r="CO194" s="405"/>
      <c r="CP194" s="405"/>
      <c r="CQ194" s="407"/>
      <c r="CR194" s="408"/>
      <c r="CS194" s="405"/>
      <c r="CT194" s="405"/>
      <c r="CU194" s="409"/>
      <c r="CV194" s="408"/>
      <c r="CW194" s="405"/>
      <c r="CX194" s="405"/>
      <c r="CY194" s="405"/>
      <c r="CZ194" s="408"/>
      <c r="DA194" s="405"/>
      <c r="DB194" s="405"/>
      <c r="DC194" s="405"/>
      <c r="DD194" s="408"/>
      <c r="DE194" s="405"/>
      <c r="DF194" s="405"/>
      <c r="DG194" s="405"/>
      <c r="DH194" s="408"/>
      <c r="DI194" s="405"/>
      <c r="DJ194" s="405"/>
      <c r="DK194" s="405"/>
      <c r="DL194" s="408"/>
      <c r="DM194" s="405"/>
      <c r="DN194" s="405"/>
      <c r="DO194" s="405"/>
    </row>
    <row r="195" ht="14.25" customHeight="1" spans="1:119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  <c r="CM195" s="405"/>
      <c r="CN195" s="406"/>
      <c r="CO195" s="405"/>
      <c r="CP195" s="405"/>
      <c r="CQ195" s="407"/>
      <c r="CR195" s="408"/>
      <c r="CS195" s="405"/>
      <c r="CT195" s="405"/>
      <c r="CU195" s="409"/>
      <c r="CV195" s="408"/>
      <c r="CW195" s="405"/>
      <c r="CX195" s="405"/>
      <c r="CY195" s="405"/>
      <c r="CZ195" s="408"/>
      <c r="DA195" s="405"/>
      <c r="DB195" s="405"/>
      <c r="DC195" s="405"/>
      <c r="DD195" s="408"/>
      <c r="DE195" s="405"/>
      <c r="DF195" s="405"/>
      <c r="DG195" s="405"/>
      <c r="DH195" s="408"/>
      <c r="DI195" s="405"/>
      <c r="DJ195" s="405"/>
      <c r="DK195" s="405"/>
      <c r="DL195" s="408"/>
      <c r="DM195" s="405"/>
      <c r="DN195" s="405"/>
      <c r="DO195" s="405"/>
    </row>
    <row r="196" ht="14.25" customHeight="1" spans="1:119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  <c r="CM196" s="405"/>
      <c r="CN196" s="406"/>
      <c r="CO196" s="405"/>
      <c r="CP196" s="405"/>
      <c r="CQ196" s="407"/>
      <c r="CR196" s="408"/>
      <c r="CS196" s="405"/>
      <c r="CT196" s="405"/>
      <c r="CU196" s="409"/>
      <c r="CV196" s="408"/>
      <c r="CW196" s="405"/>
      <c r="CX196" s="405"/>
      <c r="CY196" s="405"/>
      <c r="CZ196" s="408"/>
      <c r="DA196" s="405"/>
      <c r="DB196" s="405"/>
      <c r="DC196" s="405"/>
      <c r="DD196" s="408"/>
      <c r="DE196" s="405"/>
      <c r="DF196" s="405"/>
      <c r="DG196" s="405"/>
      <c r="DH196" s="408"/>
      <c r="DI196" s="405"/>
      <c r="DJ196" s="405"/>
      <c r="DK196" s="405"/>
      <c r="DL196" s="408"/>
      <c r="DM196" s="405"/>
      <c r="DN196" s="405"/>
      <c r="DO196" s="405"/>
    </row>
    <row r="197" ht="14.25" customHeight="1" spans="1:119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  <c r="CM197" s="405"/>
      <c r="CN197" s="406"/>
      <c r="CO197" s="405"/>
      <c r="CP197" s="405"/>
      <c r="CQ197" s="407"/>
      <c r="CR197" s="408"/>
      <c r="CS197" s="405"/>
      <c r="CT197" s="405"/>
      <c r="CU197" s="409"/>
      <c r="CV197" s="408"/>
      <c r="CW197" s="405"/>
      <c r="CX197" s="405"/>
      <c r="CY197" s="405"/>
      <c r="CZ197" s="408"/>
      <c r="DA197" s="405"/>
      <c r="DB197" s="405"/>
      <c r="DC197" s="405"/>
      <c r="DD197" s="408"/>
      <c r="DE197" s="405"/>
      <c r="DF197" s="405"/>
      <c r="DG197" s="405"/>
      <c r="DH197" s="408"/>
      <c r="DI197" s="405"/>
      <c r="DJ197" s="405"/>
      <c r="DK197" s="405"/>
      <c r="DL197" s="408"/>
      <c r="DM197" s="405"/>
      <c r="DN197" s="405"/>
      <c r="DO197" s="405"/>
    </row>
    <row r="198" ht="14.25" customHeight="1" spans="1:119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  <c r="CM198" s="405"/>
      <c r="CN198" s="406"/>
      <c r="CO198" s="405"/>
      <c r="CP198" s="405"/>
      <c r="CQ198" s="407"/>
      <c r="CR198" s="408"/>
      <c r="CS198" s="405"/>
      <c r="CT198" s="405"/>
      <c r="CU198" s="409"/>
      <c r="CV198" s="408"/>
      <c r="CW198" s="405"/>
      <c r="CX198" s="405"/>
      <c r="CY198" s="405"/>
      <c r="CZ198" s="408"/>
      <c r="DA198" s="405"/>
      <c r="DB198" s="405"/>
      <c r="DC198" s="405"/>
      <c r="DD198" s="408"/>
      <c r="DE198" s="405"/>
      <c r="DF198" s="405"/>
      <c r="DG198" s="405"/>
      <c r="DH198" s="408"/>
      <c r="DI198" s="405"/>
      <c r="DJ198" s="405"/>
      <c r="DK198" s="405"/>
      <c r="DL198" s="408"/>
      <c r="DM198" s="405"/>
      <c r="DN198" s="405"/>
      <c r="DO198" s="405"/>
    </row>
    <row r="199" ht="14.25" customHeight="1" spans="1:119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  <c r="CM199" s="405"/>
      <c r="CN199" s="406"/>
      <c r="CO199" s="405"/>
      <c r="CP199" s="405"/>
      <c r="CQ199" s="407"/>
      <c r="CR199" s="408"/>
      <c r="CS199" s="405"/>
      <c r="CT199" s="405"/>
      <c r="CU199" s="409"/>
      <c r="CV199" s="408"/>
      <c r="CW199" s="405"/>
      <c r="CX199" s="405"/>
      <c r="CY199" s="405"/>
      <c r="CZ199" s="408"/>
      <c r="DA199" s="405"/>
      <c r="DB199" s="405"/>
      <c r="DC199" s="405"/>
      <c r="DD199" s="408"/>
      <c r="DE199" s="405"/>
      <c r="DF199" s="405"/>
      <c r="DG199" s="405"/>
      <c r="DH199" s="408"/>
      <c r="DI199" s="405"/>
      <c r="DJ199" s="405"/>
      <c r="DK199" s="405"/>
      <c r="DL199" s="408"/>
      <c r="DM199" s="405"/>
      <c r="DN199" s="405"/>
      <c r="DO199" s="405"/>
    </row>
    <row r="200" ht="14.25" customHeight="1" spans="1:119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  <c r="CM200" s="405"/>
      <c r="CN200" s="406"/>
      <c r="CO200" s="405"/>
      <c r="CP200" s="405"/>
      <c r="CQ200" s="407"/>
      <c r="CR200" s="408"/>
      <c r="CS200" s="405"/>
      <c r="CT200" s="405"/>
      <c r="CU200" s="409"/>
      <c r="CV200" s="408"/>
      <c r="CW200" s="405"/>
      <c r="CX200" s="405"/>
      <c r="CY200" s="405"/>
      <c r="CZ200" s="408"/>
      <c r="DA200" s="405"/>
      <c r="DB200" s="405"/>
      <c r="DC200" s="405"/>
      <c r="DD200" s="408"/>
      <c r="DE200" s="405"/>
      <c r="DF200" s="405"/>
      <c r="DG200" s="405"/>
      <c r="DH200" s="408"/>
      <c r="DI200" s="405"/>
      <c r="DJ200" s="405"/>
      <c r="DK200" s="405"/>
      <c r="DL200" s="408"/>
      <c r="DM200" s="405"/>
      <c r="DN200" s="405"/>
      <c r="DO200" s="405"/>
    </row>
    <row r="201" ht="14.25" customHeight="1" spans="1:119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  <c r="CM201" s="405"/>
      <c r="CN201" s="406"/>
      <c r="CO201" s="405"/>
      <c r="CP201" s="405"/>
      <c r="CQ201" s="407"/>
      <c r="CR201" s="408"/>
      <c r="CS201" s="405"/>
      <c r="CT201" s="405"/>
      <c r="CU201" s="409"/>
      <c r="CV201" s="408"/>
      <c r="CW201" s="405"/>
      <c r="CX201" s="405"/>
      <c r="CY201" s="405"/>
      <c r="CZ201" s="408"/>
      <c r="DA201" s="405"/>
      <c r="DB201" s="405"/>
      <c r="DC201" s="405"/>
      <c r="DD201" s="408"/>
      <c r="DE201" s="405"/>
      <c r="DF201" s="405"/>
      <c r="DG201" s="405"/>
      <c r="DH201" s="408"/>
      <c r="DI201" s="405"/>
      <c r="DJ201" s="405"/>
      <c r="DK201" s="405"/>
      <c r="DL201" s="408"/>
      <c r="DM201" s="405"/>
      <c r="DN201" s="405"/>
      <c r="DO201" s="405"/>
    </row>
    <row r="202" ht="14.25" customHeight="1" spans="1:119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  <c r="CM202" s="405"/>
      <c r="CN202" s="406"/>
      <c r="CO202" s="405"/>
      <c r="CP202" s="405"/>
      <c r="CQ202" s="407"/>
      <c r="CR202" s="408"/>
      <c r="CS202" s="405"/>
      <c r="CT202" s="405"/>
      <c r="CU202" s="409"/>
      <c r="CV202" s="408"/>
      <c r="CW202" s="405"/>
      <c r="CX202" s="405"/>
      <c r="CY202" s="405"/>
      <c r="CZ202" s="408"/>
      <c r="DA202" s="405"/>
      <c r="DB202" s="405"/>
      <c r="DC202" s="405"/>
      <c r="DD202" s="408"/>
      <c r="DE202" s="405"/>
      <c r="DF202" s="405"/>
      <c r="DG202" s="405"/>
      <c r="DH202" s="408"/>
      <c r="DI202" s="405"/>
      <c r="DJ202" s="405"/>
      <c r="DK202" s="405"/>
      <c r="DL202" s="408"/>
      <c r="DM202" s="405"/>
      <c r="DN202" s="405"/>
      <c r="DO202" s="405"/>
    </row>
    <row r="203" ht="14.25" customHeight="1" spans="1:119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  <c r="CM203" s="405"/>
      <c r="CN203" s="406"/>
      <c r="CO203" s="405"/>
      <c r="CP203" s="405"/>
      <c r="CQ203" s="407"/>
      <c r="CR203" s="408"/>
      <c r="CS203" s="405"/>
      <c r="CT203" s="405"/>
      <c r="CU203" s="409"/>
      <c r="CV203" s="408"/>
      <c r="CW203" s="405"/>
      <c r="CX203" s="405"/>
      <c r="CY203" s="405"/>
      <c r="CZ203" s="408"/>
      <c r="DA203" s="405"/>
      <c r="DB203" s="405"/>
      <c r="DC203" s="405"/>
      <c r="DD203" s="408"/>
      <c r="DE203" s="405"/>
      <c r="DF203" s="405"/>
      <c r="DG203" s="405"/>
      <c r="DH203" s="408"/>
      <c r="DI203" s="405"/>
      <c r="DJ203" s="405"/>
      <c r="DK203" s="405"/>
      <c r="DL203" s="408"/>
      <c r="DM203" s="405"/>
      <c r="DN203" s="405"/>
      <c r="DO203" s="405"/>
    </row>
    <row r="204" ht="14.25" customHeight="1" spans="1:119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  <c r="CM204" s="405"/>
      <c r="CN204" s="406"/>
      <c r="CO204" s="405"/>
      <c r="CP204" s="405"/>
      <c r="CQ204" s="407"/>
      <c r="CR204" s="408"/>
      <c r="CS204" s="405"/>
      <c r="CT204" s="405"/>
      <c r="CU204" s="409"/>
      <c r="CV204" s="408"/>
      <c r="CW204" s="405"/>
      <c r="CX204" s="405"/>
      <c r="CY204" s="405"/>
      <c r="CZ204" s="408"/>
      <c r="DA204" s="405"/>
      <c r="DB204" s="405"/>
      <c r="DC204" s="405"/>
      <c r="DD204" s="408"/>
      <c r="DE204" s="405"/>
      <c r="DF204" s="405"/>
      <c r="DG204" s="405"/>
      <c r="DH204" s="408"/>
      <c r="DI204" s="405"/>
      <c r="DJ204" s="405"/>
      <c r="DK204" s="405"/>
      <c r="DL204" s="408"/>
      <c r="DM204" s="405"/>
      <c r="DN204" s="405"/>
      <c r="DO204" s="405"/>
    </row>
    <row r="205" ht="14.25" customHeight="1" spans="1:119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  <c r="CM205" s="405"/>
      <c r="CN205" s="406"/>
      <c r="CO205" s="405"/>
      <c r="CP205" s="405"/>
      <c r="CQ205" s="407"/>
      <c r="CR205" s="408"/>
      <c r="CS205" s="405"/>
      <c r="CT205" s="405"/>
      <c r="CU205" s="409"/>
      <c r="CV205" s="408"/>
      <c r="CW205" s="405"/>
      <c r="CX205" s="405"/>
      <c r="CY205" s="405"/>
      <c r="CZ205" s="408"/>
      <c r="DA205" s="405"/>
      <c r="DB205" s="405"/>
      <c r="DC205" s="405"/>
      <c r="DD205" s="408"/>
      <c r="DE205" s="405"/>
      <c r="DF205" s="405"/>
      <c r="DG205" s="405"/>
      <c r="DH205" s="408"/>
      <c r="DI205" s="405"/>
      <c r="DJ205" s="405"/>
      <c r="DK205" s="405"/>
      <c r="DL205" s="408"/>
      <c r="DM205" s="405"/>
      <c r="DN205" s="405"/>
      <c r="DO205" s="405"/>
    </row>
    <row r="206" ht="14.25" customHeight="1" spans="1:119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  <c r="CM206" s="405"/>
      <c r="CN206" s="406"/>
      <c r="CO206" s="405"/>
      <c r="CP206" s="405"/>
      <c r="CQ206" s="407"/>
      <c r="CR206" s="408"/>
      <c r="CS206" s="405"/>
      <c r="CT206" s="405"/>
      <c r="CU206" s="409"/>
      <c r="CV206" s="408"/>
      <c r="CW206" s="405"/>
      <c r="CX206" s="405"/>
      <c r="CY206" s="405"/>
      <c r="CZ206" s="408"/>
      <c r="DA206" s="405"/>
      <c r="DB206" s="405"/>
      <c r="DC206" s="405"/>
      <c r="DD206" s="408"/>
      <c r="DE206" s="405"/>
      <c r="DF206" s="405"/>
      <c r="DG206" s="405"/>
      <c r="DH206" s="408"/>
      <c r="DI206" s="405"/>
      <c r="DJ206" s="405"/>
      <c r="DK206" s="405"/>
      <c r="DL206" s="408"/>
      <c r="DM206" s="405"/>
      <c r="DN206" s="405"/>
      <c r="DO206" s="405"/>
    </row>
    <row r="207" ht="14.25" customHeight="1" spans="1:119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  <c r="CM207" s="405"/>
      <c r="CN207" s="406"/>
      <c r="CO207" s="405"/>
      <c r="CP207" s="405"/>
      <c r="CQ207" s="407"/>
      <c r="CR207" s="408"/>
      <c r="CS207" s="405"/>
      <c r="CT207" s="405"/>
      <c r="CU207" s="409"/>
      <c r="CV207" s="408"/>
      <c r="CW207" s="405"/>
      <c r="CX207" s="405"/>
      <c r="CY207" s="405"/>
      <c r="CZ207" s="408"/>
      <c r="DA207" s="405"/>
      <c r="DB207" s="405"/>
      <c r="DC207" s="405"/>
      <c r="DD207" s="408"/>
      <c r="DE207" s="405"/>
      <c r="DF207" s="405"/>
      <c r="DG207" s="405"/>
      <c r="DH207" s="408"/>
      <c r="DI207" s="405"/>
      <c r="DJ207" s="405"/>
      <c r="DK207" s="405"/>
      <c r="DL207" s="408"/>
      <c r="DM207" s="405"/>
      <c r="DN207" s="405"/>
      <c r="DO207" s="405"/>
    </row>
    <row r="208" ht="14.25" customHeight="1" spans="1:119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  <c r="CM208" s="405"/>
      <c r="CN208" s="406"/>
      <c r="CO208" s="405"/>
      <c r="CP208" s="405"/>
      <c r="CQ208" s="407"/>
      <c r="CR208" s="408"/>
      <c r="CS208" s="405"/>
      <c r="CT208" s="405"/>
      <c r="CU208" s="409"/>
      <c r="CV208" s="408"/>
      <c r="CW208" s="405"/>
      <c r="CX208" s="405"/>
      <c r="CY208" s="405"/>
      <c r="CZ208" s="408"/>
      <c r="DA208" s="405"/>
      <c r="DB208" s="405"/>
      <c r="DC208" s="405"/>
      <c r="DD208" s="408"/>
      <c r="DE208" s="405"/>
      <c r="DF208" s="405"/>
      <c r="DG208" s="405"/>
      <c r="DH208" s="408"/>
      <c r="DI208" s="405"/>
      <c r="DJ208" s="405"/>
      <c r="DK208" s="405"/>
      <c r="DL208" s="408"/>
      <c r="DM208" s="405"/>
      <c r="DN208" s="405"/>
      <c r="DO208" s="405"/>
    </row>
    <row r="209" ht="14.25" customHeight="1" spans="1:119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  <c r="CM209" s="405"/>
      <c r="CN209" s="406"/>
      <c r="CO209" s="405"/>
      <c r="CP209" s="405"/>
      <c r="CQ209" s="407"/>
      <c r="CR209" s="408"/>
      <c r="CS209" s="405"/>
      <c r="CT209" s="405"/>
      <c r="CU209" s="409"/>
      <c r="CV209" s="408"/>
      <c r="CW209" s="405"/>
      <c r="CX209" s="405"/>
      <c r="CY209" s="405"/>
      <c r="CZ209" s="408"/>
      <c r="DA209" s="405"/>
      <c r="DB209" s="405"/>
      <c r="DC209" s="405"/>
      <c r="DD209" s="408"/>
      <c r="DE209" s="405"/>
      <c r="DF209" s="405"/>
      <c r="DG209" s="405"/>
      <c r="DH209" s="408"/>
      <c r="DI209" s="405"/>
      <c r="DJ209" s="405"/>
      <c r="DK209" s="405"/>
      <c r="DL209" s="408"/>
      <c r="DM209" s="405"/>
      <c r="DN209" s="405"/>
      <c r="DO209" s="405"/>
    </row>
    <row r="210" ht="14.25" customHeight="1" spans="1:119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  <c r="CM210" s="405"/>
      <c r="CN210" s="406"/>
      <c r="CO210" s="405"/>
      <c r="CP210" s="405"/>
      <c r="CQ210" s="407"/>
      <c r="CR210" s="408"/>
      <c r="CS210" s="405"/>
      <c r="CT210" s="405"/>
      <c r="CU210" s="409"/>
      <c r="CV210" s="408"/>
      <c r="CW210" s="405"/>
      <c r="CX210" s="405"/>
      <c r="CY210" s="405"/>
      <c r="CZ210" s="408"/>
      <c r="DA210" s="405"/>
      <c r="DB210" s="405"/>
      <c r="DC210" s="405"/>
      <c r="DD210" s="408"/>
      <c r="DE210" s="405"/>
      <c r="DF210" s="405"/>
      <c r="DG210" s="405"/>
      <c r="DH210" s="408"/>
      <c r="DI210" s="405"/>
      <c r="DJ210" s="405"/>
      <c r="DK210" s="405"/>
      <c r="DL210" s="408"/>
      <c r="DM210" s="405"/>
      <c r="DN210" s="405"/>
      <c r="DO210" s="405"/>
    </row>
    <row r="211" ht="14.25" customHeight="1" spans="1:119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  <c r="CM211" s="405"/>
      <c r="CN211" s="406"/>
      <c r="CO211" s="405"/>
      <c r="CP211" s="405"/>
      <c r="CQ211" s="407"/>
      <c r="CR211" s="408"/>
      <c r="CS211" s="405"/>
      <c r="CT211" s="405"/>
      <c r="CU211" s="409"/>
      <c r="CV211" s="408"/>
      <c r="CW211" s="405"/>
      <c r="CX211" s="405"/>
      <c r="CY211" s="405"/>
      <c r="CZ211" s="408"/>
      <c r="DA211" s="405"/>
      <c r="DB211" s="405"/>
      <c r="DC211" s="405"/>
      <c r="DD211" s="408"/>
      <c r="DE211" s="405"/>
      <c r="DF211" s="405"/>
      <c r="DG211" s="405"/>
      <c r="DH211" s="408"/>
      <c r="DI211" s="405"/>
      <c r="DJ211" s="405"/>
      <c r="DK211" s="405"/>
      <c r="DL211" s="408"/>
      <c r="DM211" s="405"/>
      <c r="DN211" s="405"/>
      <c r="DO211" s="405"/>
    </row>
    <row r="212" ht="14.25" customHeight="1" spans="1:119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  <c r="CM212" s="405"/>
      <c r="CN212" s="406"/>
      <c r="CO212" s="405"/>
      <c r="CP212" s="405"/>
      <c r="CQ212" s="407"/>
      <c r="CR212" s="408"/>
      <c r="CS212" s="405"/>
      <c r="CT212" s="405"/>
      <c r="CU212" s="409"/>
      <c r="CV212" s="408"/>
      <c r="CW212" s="405"/>
      <c r="CX212" s="405"/>
      <c r="CY212" s="405"/>
      <c r="CZ212" s="408"/>
      <c r="DA212" s="405"/>
      <c r="DB212" s="405"/>
      <c r="DC212" s="405"/>
      <c r="DD212" s="408"/>
      <c r="DE212" s="405"/>
      <c r="DF212" s="405"/>
      <c r="DG212" s="405"/>
      <c r="DH212" s="408"/>
      <c r="DI212" s="405"/>
      <c r="DJ212" s="405"/>
      <c r="DK212" s="405"/>
      <c r="DL212" s="408"/>
      <c r="DM212" s="405"/>
      <c r="DN212" s="405"/>
      <c r="DO212" s="405"/>
    </row>
    <row r="213" ht="14.25" customHeight="1" spans="1:119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  <c r="CM213" s="405"/>
      <c r="CN213" s="406"/>
      <c r="CO213" s="405"/>
      <c r="CP213" s="405"/>
      <c r="CQ213" s="407"/>
      <c r="CR213" s="408"/>
      <c r="CS213" s="405"/>
      <c r="CT213" s="405"/>
      <c r="CU213" s="409"/>
      <c r="CV213" s="408"/>
      <c r="CW213" s="405"/>
      <c r="CX213" s="405"/>
      <c r="CY213" s="405"/>
      <c r="CZ213" s="408"/>
      <c r="DA213" s="405"/>
      <c r="DB213" s="405"/>
      <c r="DC213" s="405"/>
      <c r="DD213" s="408"/>
      <c r="DE213" s="405"/>
      <c r="DF213" s="405"/>
      <c r="DG213" s="405"/>
      <c r="DH213" s="408"/>
      <c r="DI213" s="405"/>
      <c r="DJ213" s="405"/>
      <c r="DK213" s="405"/>
      <c r="DL213" s="408"/>
      <c r="DM213" s="405"/>
      <c r="DN213" s="405"/>
      <c r="DO213" s="405"/>
    </row>
    <row r="214" ht="14.25" customHeight="1" spans="1:119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  <c r="CM214" s="405"/>
      <c r="CN214" s="406"/>
      <c r="CO214" s="405"/>
      <c r="CP214" s="405"/>
      <c r="CQ214" s="407"/>
      <c r="CR214" s="408"/>
      <c r="CS214" s="405"/>
      <c r="CT214" s="405"/>
      <c r="CU214" s="409"/>
      <c r="CV214" s="408"/>
      <c r="CW214" s="405"/>
      <c r="CX214" s="405"/>
      <c r="CY214" s="405"/>
      <c r="CZ214" s="408"/>
      <c r="DA214" s="405"/>
      <c r="DB214" s="405"/>
      <c r="DC214" s="405"/>
      <c r="DD214" s="408"/>
      <c r="DE214" s="405"/>
      <c r="DF214" s="405"/>
      <c r="DG214" s="405"/>
      <c r="DH214" s="408"/>
      <c r="DI214" s="405"/>
      <c r="DJ214" s="405"/>
      <c r="DK214" s="405"/>
      <c r="DL214" s="408"/>
      <c r="DM214" s="405"/>
      <c r="DN214" s="405"/>
      <c r="DO214" s="405"/>
    </row>
    <row r="215" ht="14.25" customHeight="1" spans="1:119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  <c r="CM215" s="405"/>
      <c r="CN215" s="406"/>
      <c r="CO215" s="405"/>
      <c r="CP215" s="405"/>
      <c r="CQ215" s="407"/>
      <c r="CR215" s="408"/>
      <c r="CS215" s="405"/>
      <c r="CT215" s="405"/>
      <c r="CU215" s="409"/>
      <c r="CV215" s="408"/>
      <c r="CW215" s="405"/>
      <c r="CX215" s="405"/>
      <c r="CY215" s="405"/>
      <c r="CZ215" s="408"/>
      <c r="DA215" s="405"/>
      <c r="DB215" s="405"/>
      <c r="DC215" s="405"/>
      <c r="DD215" s="408"/>
      <c r="DE215" s="405"/>
      <c r="DF215" s="405"/>
      <c r="DG215" s="405"/>
      <c r="DH215" s="408"/>
      <c r="DI215" s="405"/>
      <c r="DJ215" s="405"/>
      <c r="DK215" s="405"/>
      <c r="DL215" s="408"/>
      <c r="DM215" s="405"/>
      <c r="DN215" s="405"/>
      <c r="DO215" s="405"/>
    </row>
    <row r="216" ht="14.25" customHeight="1" spans="1:119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  <c r="CM216" s="405"/>
      <c r="CN216" s="406"/>
      <c r="CO216" s="405"/>
      <c r="CP216" s="405"/>
      <c r="CQ216" s="407"/>
      <c r="CR216" s="408"/>
      <c r="CS216" s="405"/>
      <c r="CT216" s="405"/>
      <c r="CU216" s="409"/>
      <c r="CV216" s="408"/>
      <c r="CW216" s="405"/>
      <c r="CX216" s="405"/>
      <c r="CY216" s="405"/>
      <c r="CZ216" s="408"/>
      <c r="DA216" s="405"/>
      <c r="DB216" s="405"/>
      <c r="DC216" s="405"/>
      <c r="DD216" s="408"/>
      <c r="DE216" s="405"/>
      <c r="DF216" s="405"/>
      <c r="DG216" s="405"/>
      <c r="DH216" s="408"/>
      <c r="DI216" s="405"/>
      <c r="DJ216" s="405"/>
      <c r="DK216" s="405"/>
      <c r="DL216" s="408"/>
      <c r="DM216" s="405"/>
      <c r="DN216" s="405"/>
      <c r="DO216" s="405"/>
    </row>
    <row r="217" ht="14.25" customHeight="1" spans="1:119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  <c r="CM217" s="405"/>
      <c r="CN217" s="406"/>
      <c r="CO217" s="405"/>
      <c r="CP217" s="405"/>
      <c r="CQ217" s="407"/>
      <c r="CR217" s="408"/>
      <c r="CS217" s="405"/>
      <c r="CT217" s="405"/>
      <c r="CU217" s="409"/>
      <c r="CV217" s="408"/>
      <c r="CW217" s="405"/>
      <c r="CX217" s="405"/>
      <c r="CY217" s="405"/>
      <c r="CZ217" s="408"/>
      <c r="DA217" s="405"/>
      <c r="DB217" s="405"/>
      <c r="DC217" s="405"/>
      <c r="DD217" s="408"/>
      <c r="DE217" s="405"/>
      <c r="DF217" s="405"/>
      <c r="DG217" s="405"/>
      <c r="DH217" s="408"/>
      <c r="DI217" s="405"/>
      <c r="DJ217" s="405"/>
      <c r="DK217" s="405"/>
      <c r="DL217" s="408"/>
      <c r="DM217" s="405"/>
      <c r="DN217" s="405"/>
      <c r="DO217" s="405"/>
    </row>
    <row r="218" ht="14.25" customHeight="1" spans="1:119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  <c r="CM218" s="405"/>
      <c r="CN218" s="406"/>
      <c r="CO218" s="405"/>
      <c r="CP218" s="405"/>
      <c r="CQ218" s="407"/>
      <c r="CR218" s="408"/>
      <c r="CS218" s="405"/>
      <c r="CT218" s="405"/>
      <c r="CU218" s="409"/>
      <c r="CV218" s="408"/>
      <c r="CW218" s="405"/>
      <c r="CX218" s="405"/>
      <c r="CY218" s="405"/>
      <c r="CZ218" s="408"/>
      <c r="DA218" s="405"/>
      <c r="DB218" s="405"/>
      <c r="DC218" s="405"/>
      <c r="DD218" s="408"/>
      <c r="DE218" s="405"/>
      <c r="DF218" s="405"/>
      <c r="DG218" s="405"/>
      <c r="DH218" s="408"/>
      <c r="DI218" s="405"/>
      <c r="DJ218" s="405"/>
      <c r="DK218" s="405"/>
      <c r="DL218" s="408"/>
      <c r="DM218" s="405"/>
      <c r="DN218" s="405"/>
      <c r="DO218" s="405"/>
    </row>
    <row r="219" ht="14.25" customHeight="1" spans="1:119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  <c r="CM219" s="405"/>
      <c r="CN219" s="406"/>
      <c r="CO219" s="405"/>
      <c r="CP219" s="405"/>
      <c r="CQ219" s="407"/>
      <c r="CR219" s="408"/>
      <c r="CS219" s="405"/>
      <c r="CT219" s="405"/>
      <c r="CU219" s="409"/>
      <c r="CV219" s="408"/>
      <c r="CW219" s="405"/>
      <c r="CX219" s="405"/>
      <c r="CY219" s="405"/>
      <c r="CZ219" s="408"/>
      <c r="DA219" s="405"/>
      <c r="DB219" s="405"/>
      <c r="DC219" s="405"/>
      <c r="DD219" s="408"/>
      <c r="DE219" s="405"/>
      <c r="DF219" s="405"/>
      <c r="DG219" s="405"/>
      <c r="DH219" s="408"/>
      <c r="DI219" s="405"/>
      <c r="DJ219" s="405"/>
      <c r="DK219" s="405"/>
      <c r="DL219" s="408"/>
      <c r="DM219" s="405"/>
      <c r="DN219" s="405"/>
      <c r="DO219" s="405"/>
    </row>
    <row r="220" ht="14.25" customHeight="1" spans="1:119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  <c r="CM220" s="405"/>
      <c r="CN220" s="406"/>
      <c r="CO220" s="405"/>
      <c r="CP220" s="405"/>
      <c r="CQ220" s="407"/>
      <c r="CR220" s="408"/>
      <c r="CS220" s="405"/>
      <c r="CT220" s="405"/>
      <c r="CU220" s="409"/>
      <c r="CV220" s="408"/>
      <c r="CW220" s="405"/>
      <c r="CX220" s="405"/>
      <c r="CY220" s="405"/>
      <c r="CZ220" s="408"/>
      <c r="DA220" s="405"/>
      <c r="DB220" s="405"/>
      <c r="DC220" s="405"/>
      <c r="DD220" s="408"/>
      <c r="DE220" s="405"/>
      <c r="DF220" s="405"/>
      <c r="DG220" s="405"/>
      <c r="DH220" s="408"/>
      <c r="DI220" s="405"/>
      <c r="DJ220" s="405"/>
      <c r="DK220" s="405"/>
      <c r="DL220" s="408"/>
      <c r="DM220" s="405"/>
      <c r="DN220" s="405"/>
      <c r="DO220" s="405"/>
    </row>
    <row r="221" ht="14.25" customHeight="1" spans="1:119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  <c r="CM221" s="405"/>
      <c r="CN221" s="406"/>
      <c r="CO221" s="405"/>
      <c r="CP221" s="405"/>
      <c r="CQ221" s="407"/>
      <c r="CR221" s="408"/>
      <c r="CS221" s="405"/>
      <c r="CT221" s="405"/>
      <c r="CU221" s="409"/>
      <c r="CV221" s="408"/>
      <c r="CW221" s="405"/>
      <c r="CX221" s="405"/>
      <c r="CY221" s="405"/>
      <c r="CZ221" s="408"/>
      <c r="DA221" s="405"/>
      <c r="DB221" s="405"/>
      <c r="DC221" s="405"/>
      <c r="DD221" s="408"/>
      <c r="DE221" s="405"/>
      <c r="DF221" s="405"/>
      <c r="DG221" s="405"/>
      <c r="DH221" s="408"/>
      <c r="DI221" s="405"/>
      <c r="DJ221" s="405"/>
      <c r="DK221" s="405"/>
      <c r="DL221" s="408"/>
      <c r="DM221" s="405"/>
      <c r="DN221" s="405"/>
      <c r="DO221" s="405"/>
    </row>
    <row r="222" ht="14.25" customHeight="1" spans="1:119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  <c r="CM222" s="405"/>
      <c r="CN222" s="406"/>
      <c r="CO222" s="405"/>
      <c r="CP222" s="405"/>
      <c r="CQ222" s="407"/>
      <c r="CR222" s="408"/>
      <c r="CS222" s="405"/>
      <c r="CT222" s="405"/>
      <c r="CU222" s="409"/>
      <c r="CV222" s="408"/>
      <c r="CW222" s="405"/>
      <c r="CX222" s="405"/>
      <c r="CY222" s="405"/>
      <c r="CZ222" s="408"/>
      <c r="DA222" s="405"/>
      <c r="DB222" s="405"/>
      <c r="DC222" s="405"/>
      <c r="DD222" s="408"/>
      <c r="DE222" s="405"/>
      <c r="DF222" s="405"/>
      <c r="DG222" s="405"/>
      <c r="DH222" s="408"/>
      <c r="DI222" s="405"/>
      <c r="DJ222" s="405"/>
      <c r="DK222" s="405"/>
      <c r="DL222" s="408"/>
      <c r="DM222" s="405"/>
      <c r="DN222" s="405"/>
      <c r="DO222" s="405"/>
    </row>
    <row r="223" ht="14.25" customHeight="1" spans="1:119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  <c r="CM223" s="405"/>
      <c r="CN223" s="406"/>
      <c r="CO223" s="405"/>
      <c r="CP223" s="405"/>
      <c r="CQ223" s="407"/>
      <c r="CR223" s="408"/>
      <c r="CS223" s="405"/>
      <c r="CT223" s="405"/>
      <c r="CU223" s="409"/>
      <c r="CV223" s="408"/>
      <c r="CW223" s="405"/>
      <c r="CX223" s="405"/>
      <c r="CY223" s="405"/>
      <c r="CZ223" s="408"/>
      <c r="DA223" s="405"/>
      <c r="DB223" s="405"/>
      <c r="DC223" s="405"/>
      <c r="DD223" s="408"/>
      <c r="DE223" s="405"/>
      <c r="DF223" s="405"/>
      <c r="DG223" s="405"/>
      <c r="DH223" s="408"/>
      <c r="DI223" s="405"/>
      <c r="DJ223" s="405"/>
      <c r="DK223" s="405"/>
      <c r="DL223" s="408"/>
      <c r="DM223" s="405"/>
      <c r="DN223" s="405"/>
      <c r="DO223" s="405"/>
    </row>
    <row r="224" ht="14.25" customHeight="1" spans="1:119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  <c r="CM224" s="405"/>
      <c r="CN224" s="406"/>
      <c r="CO224" s="405"/>
      <c r="CP224" s="405"/>
      <c r="CQ224" s="407"/>
      <c r="CR224" s="408"/>
      <c r="CS224" s="405"/>
      <c r="CT224" s="405"/>
      <c r="CU224" s="409"/>
      <c r="CV224" s="408"/>
      <c r="CW224" s="405"/>
      <c r="CX224" s="405"/>
      <c r="CY224" s="405"/>
      <c r="CZ224" s="408"/>
      <c r="DA224" s="405"/>
      <c r="DB224" s="405"/>
      <c r="DC224" s="405"/>
      <c r="DD224" s="408"/>
      <c r="DE224" s="405"/>
      <c r="DF224" s="405"/>
      <c r="DG224" s="405"/>
      <c r="DH224" s="408"/>
      <c r="DI224" s="405"/>
      <c r="DJ224" s="405"/>
      <c r="DK224" s="405"/>
      <c r="DL224" s="408"/>
      <c r="DM224" s="405"/>
      <c r="DN224" s="405"/>
      <c r="DO224" s="405"/>
    </row>
    <row r="225" ht="14.25" customHeight="1" spans="1:119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  <c r="CM225" s="405"/>
      <c r="CN225" s="406"/>
      <c r="CO225" s="405"/>
      <c r="CP225" s="405"/>
      <c r="CQ225" s="407"/>
      <c r="CR225" s="408"/>
      <c r="CS225" s="405"/>
      <c r="CT225" s="405"/>
      <c r="CU225" s="409"/>
      <c r="CV225" s="408"/>
      <c r="CW225" s="405"/>
      <c r="CX225" s="405"/>
      <c r="CY225" s="405"/>
      <c r="CZ225" s="408"/>
      <c r="DA225" s="405"/>
      <c r="DB225" s="405"/>
      <c r="DC225" s="405"/>
      <c r="DD225" s="408"/>
      <c r="DE225" s="405"/>
      <c r="DF225" s="405"/>
      <c r="DG225" s="405"/>
      <c r="DH225" s="408"/>
      <c r="DI225" s="405"/>
      <c r="DJ225" s="405"/>
      <c r="DK225" s="405"/>
      <c r="DL225" s="408"/>
      <c r="DM225" s="405"/>
      <c r="DN225" s="405"/>
      <c r="DO225" s="405"/>
    </row>
    <row r="226" ht="14.25" customHeight="1" spans="1:119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  <c r="CM226" s="405"/>
      <c r="CN226" s="406"/>
      <c r="CO226" s="405"/>
      <c r="CP226" s="405"/>
      <c r="CQ226" s="407"/>
      <c r="CR226" s="408"/>
      <c r="CS226" s="405"/>
      <c r="CT226" s="405"/>
      <c r="CU226" s="409"/>
      <c r="CV226" s="408"/>
      <c r="CW226" s="405"/>
      <c r="CX226" s="405"/>
      <c r="CY226" s="405"/>
      <c r="CZ226" s="408"/>
      <c r="DA226" s="405"/>
      <c r="DB226" s="405"/>
      <c r="DC226" s="405"/>
      <c r="DD226" s="408"/>
      <c r="DE226" s="405"/>
      <c r="DF226" s="405"/>
      <c r="DG226" s="405"/>
      <c r="DH226" s="408"/>
      <c r="DI226" s="405"/>
      <c r="DJ226" s="405"/>
      <c r="DK226" s="405"/>
      <c r="DL226" s="408"/>
      <c r="DM226" s="405"/>
      <c r="DN226" s="405"/>
      <c r="DO226" s="405"/>
    </row>
    <row r="227" ht="14.25" customHeight="1" spans="1:119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  <c r="CM227" s="405"/>
      <c r="CN227" s="406"/>
      <c r="CO227" s="405"/>
      <c r="CP227" s="405"/>
      <c r="CQ227" s="407"/>
      <c r="CR227" s="408"/>
      <c r="CS227" s="405"/>
      <c r="CT227" s="405"/>
      <c r="CU227" s="409"/>
      <c r="CV227" s="408"/>
      <c r="CW227" s="405"/>
      <c r="CX227" s="405"/>
      <c r="CY227" s="405"/>
      <c r="CZ227" s="408"/>
      <c r="DA227" s="405"/>
      <c r="DB227" s="405"/>
      <c r="DC227" s="405"/>
      <c r="DD227" s="408"/>
      <c r="DE227" s="405"/>
      <c r="DF227" s="405"/>
      <c r="DG227" s="405"/>
      <c r="DH227" s="408"/>
      <c r="DI227" s="405"/>
      <c r="DJ227" s="405"/>
      <c r="DK227" s="405"/>
      <c r="DL227" s="408"/>
      <c r="DM227" s="405"/>
      <c r="DN227" s="405"/>
      <c r="DO227" s="405"/>
    </row>
    <row r="228" ht="14.25" customHeight="1" spans="1:119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  <c r="CM228" s="405"/>
      <c r="CN228" s="406"/>
      <c r="CO228" s="405"/>
      <c r="CP228" s="405"/>
      <c r="CQ228" s="407"/>
      <c r="CR228" s="408"/>
      <c r="CS228" s="405"/>
      <c r="CT228" s="405"/>
      <c r="CU228" s="409"/>
      <c r="CV228" s="408"/>
      <c r="CW228" s="405"/>
      <c r="CX228" s="405"/>
      <c r="CY228" s="405"/>
      <c r="CZ228" s="408"/>
      <c r="DA228" s="405"/>
      <c r="DB228" s="405"/>
      <c r="DC228" s="405"/>
      <c r="DD228" s="408"/>
      <c r="DE228" s="405"/>
      <c r="DF228" s="405"/>
      <c r="DG228" s="405"/>
      <c r="DH228" s="408"/>
      <c r="DI228" s="405"/>
      <c r="DJ228" s="405"/>
      <c r="DK228" s="405"/>
      <c r="DL228" s="408"/>
      <c r="DM228" s="405"/>
      <c r="DN228" s="405"/>
      <c r="DO228" s="405"/>
    </row>
    <row r="229" ht="14.25" customHeight="1" spans="1:119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  <c r="CM229" s="405"/>
      <c r="CN229" s="406"/>
      <c r="CO229" s="405"/>
      <c r="CP229" s="405"/>
      <c r="CQ229" s="407"/>
      <c r="CR229" s="408"/>
      <c r="CS229" s="405"/>
      <c r="CT229" s="405"/>
      <c r="CU229" s="409"/>
      <c r="CV229" s="408"/>
      <c r="CW229" s="405"/>
      <c r="CX229" s="405"/>
      <c r="CY229" s="405"/>
      <c r="CZ229" s="408"/>
      <c r="DA229" s="405"/>
      <c r="DB229" s="405"/>
      <c r="DC229" s="405"/>
      <c r="DD229" s="408"/>
      <c r="DE229" s="405"/>
      <c r="DF229" s="405"/>
      <c r="DG229" s="405"/>
      <c r="DH229" s="408"/>
      <c r="DI229" s="405"/>
      <c r="DJ229" s="405"/>
      <c r="DK229" s="405"/>
      <c r="DL229" s="408"/>
      <c r="DM229" s="405"/>
      <c r="DN229" s="405"/>
      <c r="DO229" s="405"/>
    </row>
    <row r="230" ht="14.25" customHeight="1" spans="1:119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  <c r="CM230" s="405"/>
      <c r="CN230" s="406"/>
      <c r="CO230" s="405"/>
      <c r="CP230" s="405"/>
      <c r="CQ230" s="407"/>
      <c r="CR230" s="408"/>
      <c r="CS230" s="405"/>
      <c r="CT230" s="405"/>
      <c r="CU230" s="409"/>
      <c r="CV230" s="408"/>
      <c r="CW230" s="405"/>
      <c r="CX230" s="405"/>
      <c r="CY230" s="405"/>
      <c r="CZ230" s="408"/>
      <c r="DA230" s="405"/>
      <c r="DB230" s="405"/>
      <c r="DC230" s="405"/>
      <c r="DD230" s="408"/>
      <c r="DE230" s="405"/>
      <c r="DF230" s="405"/>
      <c r="DG230" s="405"/>
      <c r="DH230" s="408"/>
      <c r="DI230" s="405"/>
      <c r="DJ230" s="405"/>
      <c r="DK230" s="405"/>
      <c r="DL230" s="408"/>
      <c r="DM230" s="405"/>
      <c r="DN230" s="405"/>
      <c r="DO230" s="405"/>
    </row>
    <row r="231" ht="14.25" customHeight="1" spans="1:119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  <c r="CM231" s="405"/>
      <c r="CN231" s="406"/>
      <c r="CO231" s="405"/>
      <c r="CP231" s="405"/>
      <c r="CQ231" s="407"/>
      <c r="CR231" s="408"/>
      <c r="CS231" s="405"/>
      <c r="CT231" s="405"/>
      <c r="CU231" s="409"/>
      <c r="CV231" s="408"/>
      <c r="CW231" s="405"/>
      <c r="CX231" s="405"/>
      <c r="CY231" s="405"/>
      <c r="CZ231" s="408"/>
      <c r="DA231" s="405"/>
      <c r="DB231" s="405"/>
      <c r="DC231" s="405"/>
      <c r="DD231" s="408"/>
      <c r="DE231" s="405"/>
      <c r="DF231" s="405"/>
      <c r="DG231" s="405"/>
      <c r="DH231" s="408"/>
      <c r="DI231" s="405"/>
      <c r="DJ231" s="405"/>
      <c r="DK231" s="405"/>
      <c r="DL231" s="408"/>
      <c r="DM231" s="405"/>
      <c r="DN231" s="405"/>
      <c r="DO231" s="405"/>
    </row>
    <row r="232" ht="14.25" customHeight="1" spans="1:119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  <c r="CM232" s="405"/>
      <c r="CN232" s="406"/>
      <c r="CO232" s="405"/>
      <c r="CP232" s="405"/>
      <c r="CQ232" s="407"/>
      <c r="CR232" s="408"/>
      <c r="CS232" s="405"/>
      <c r="CT232" s="405"/>
      <c r="CU232" s="409"/>
      <c r="CV232" s="408"/>
      <c r="CW232" s="405"/>
      <c r="CX232" s="405"/>
      <c r="CY232" s="405"/>
      <c r="CZ232" s="408"/>
      <c r="DA232" s="405"/>
      <c r="DB232" s="405"/>
      <c r="DC232" s="405"/>
      <c r="DD232" s="408"/>
      <c r="DE232" s="405"/>
      <c r="DF232" s="405"/>
      <c r="DG232" s="405"/>
      <c r="DH232" s="408"/>
      <c r="DI232" s="405"/>
      <c r="DJ232" s="405"/>
      <c r="DK232" s="405"/>
      <c r="DL232" s="408"/>
      <c r="DM232" s="405"/>
      <c r="DN232" s="405"/>
      <c r="DO232" s="405"/>
    </row>
    <row r="233" ht="14.25" customHeight="1" spans="1:119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  <c r="CM233" s="405"/>
      <c r="CN233" s="406"/>
      <c r="CO233" s="405"/>
      <c r="CP233" s="405"/>
      <c r="CQ233" s="407"/>
      <c r="CR233" s="408"/>
      <c r="CS233" s="405"/>
      <c r="CT233" s="405"/>
      <c r="CU233" s="409"/>
      <c r="CV233" s="408"/>
      <c r="CW233" s="405"/>
      <c r="CX233" s="405"/>
      <c r="CY233" s="405"/>
      <c r="CZ233" s="408"/>
      <c r="DA233" s="405"/>
      <c r="DB233" s="405"/>
      <c r="DC233" s="405"/>
      <c r="DD233" s="408"/>
      <c r="DE233" s="405"/>
      <c r="DF233" s="405"/>
      <c r="DG233" s="405"/>
      <c r="DH233" s="408"/>
      <c r="DI233" s="405"/>
      <c r="DJ233" s="405"/>
      <c r="DK233" s="405"/>
      <c r="DL233" s="408"/>
      <c r="DM233" s="405"/>
      <c r="DN233" s="405"/>
      <c r="DO233" s="405"/>
    </row>
    <row r="234" ht="14.25" customHeight="1" spans="1:119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  <c r="CM234" s="405"/>
      <c r="CN234" s="406"/>
      <c r="CO234" s="405"/>
      <c r="CP234" s="405"/>
      <c r="CQ234" s="407"/>
      <c r="CR234" s="408"/>
      <c r="CS234" s="405"/>
      <c r="CT234" s="405"/>
      <c r="CU234" s="409"/>
      <c r="CV234" s="408"/>
      <c r="CW234" s="405"/>
      <c r="CX234" s="405"/>
      <c r="CY234" s="405"/>
      <c r="CZ234" s="408"/>
      <c r="DA234" s="405"/>
      <c r="DB234" s="405"/>
      <c r="DC234" s="405"/>
      <c r="DD234" s="408"/>
      <c r="DE234" s="405"/>
      <c r="DF234" s="405"/>
      <c r="DG234" s="405"/>
      <c r="DH234" s="408"/>
      <c r="DI234" s="405"/>
      <c r="DJ234" s="405"/>
      <c r="DK234" s="405"/>
      <c r="DL234" s="408"/>
      <c r="DM234" s="405"/>
      <c r="DN234" s="405"/>
      <c r="DO234" s="405"/>
    </row>
    <row r="235" ht="14.25" customHeight="1" spans="1:119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  <c r="CM235" s="405"/>
      <c r="CN235" s="406"/>
      <c r="CO235" s="405"/>
      <c r="CP235" s="405"/>
      <c r="CQ235" s="407"/>
      <c r="CR235" s="408"/>
      <c r="CS235" s="405"/>
      <c r="CT235" s="405"/>
      <c r="CU235" s="409"/>
      <c r="CV235" s="408"/>
      <c r="CW235" s="405"/>
      <c r="CX235" s="405"/>
      <c r="CY235" s="405"/>
      <c r="CZ235" s="408"/>
      <c r="DA235" s="405"/>
      <c r="DB235" s="405"/>
      <c r="DC235" s="405"/>
      <c r="DD235" s="408"/>
      <c r="DE235" s="405"/>
      <c r="DF235" s="405"/>
      <c r="DG235" s="405"/>
      <c r="DH235" s="408"/>
      <c r="DI235" s="405"/>
      <c r="DJ235" s="405"/>
      <c r="DK235" s="405"/>
      <c r="DL235" s="408"/>
      <c r="DM235" s="405"/>
      <c r="DN235" s="405"/>
      <c r="DO235" s="405"/>
    </row>
    <row r="236" ht="14.25" customHeight="1" spans="1:119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  <c r="CM236" s="405"/>
      <c r="CN236" s="406"/>
      <c r="CO236" s="405"/>
      <c r="CP236" s="405"/>
      <c r="CQ236" s="407"/>
      <c r="CR236" s="408"/>
      <c r="CS236" s="405"/>
      <c r="CT236" s="405"/>
      <c r="CU236" s="409"/>
      <c r="CV236" s="408"/>
      <c r="CW236" s="405"/>
      <c r="CX236" s="405"/>
      <c r="CY236" s="405"/>
      <c r="CZ236" s="408"/>
      <c r="DA236" s="405"/>
      <c r="DB236" s="405"/>
      <c r="DC236" s="405"/>
      <c r="DD236" s="408"/>
      <c r="DE236" s="405"/>
      <c r="DF236" s="405"/>
      <c r="DG236" s="405"/>
      <c r="DH236" s="408"/>
      <c r="DI236" s="405"/>
      <c r="DJ236" s="405"/>
      <c r="DK236" s="405"/>
      <c r="DL236" s="408"/>
      <c r="DM236" s="405"/>
      <c r="DN236" s="405"/>
      <c r="DO236" s="405"/>
    </row>
    <row r="237" ht="14.25" customHeight="1" spans="1:119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  <c r="CM237" s="405"/>
      <c r="CN237" s="406"/>
      <c r="CO237" s="405"/>
      <c r="CP237" s="405"/>
      <c r="CQ237" s="407"/>
      <c r="CR237" s="408"/>
      <c r="CS237" s="405"/>
      <c r="CT237" s="405"/>
      <c r="CU237" s="409"/>
      <c r="CV237" s="408"/>
      <c r="CW237" s="405"/>
      <c r="CX237" s="405"/>
      <c r="CY237" s="405"/>
      <c r="CZ237" s="408"/>
      <c r="DA237" s="405"/>
      <c r="DB237" s="405"/>
      <c r="DC237" s="405"/>
      <c r="DD237" s="408"/>
      <c r="DE237" s="405"/>
      <c r="DF237" s="405"/>
      <c r="DG237" s="405"/>
      <c r="DH237" s="408"/>
      <c r="DI237" s="405"/>
      <c r="DJ237" s="405"/>
      <c r="DK237" s="405"/>
      <c r="DL237" s="408"/>
      <c r="DM237" s="405"/>
      <c r="DN237" s="405"/>
      <c r="DO237" s="405"/>
    </row>
    <row r="238" ht="14.25" customHeight="1" spans="1:119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  <c r="CM238" s="405"/>
      <c r="CN238" s="406"/>
      <c r="CO238" s="405"/>
      <c r="CP238" s="405"/>
      <c r="CQ238" s="407"/>
      <c r="CR238" s="408"/>
      <c r="CS238" s="405"/>
      <c r="CT238" s="405"/>
      <c r="CU238" s="409"/>
      <c r="CV238" s="408"/>
      <c r="CW238" s="405"/>
      <c r="CX238" s="405"/>
      <c r="CY238" s="405"/>
      <c r="CZ238" s="408"/>
      <c r="DA238" s="405"/>
      <c r="DB238" s="405"/>
      <c r="DC238" s="405"/>
      <c r="DD238" s="408"/>
      <c r="DE238" s="405"/>
      <c r="DF238" s="405"/>
      <c r="DG238" s="405"/>
      <c r="DH238" s="408"/>
      <c r="DI238" s="405"/>
      <c r="DJ238" s="405"/>
      <c r="DK238" s="405"/>
      <c r="DL238" s="408"/>
      <c r="DM238" s="405"/>
      <c r="DN238" s="405"/>
      <c r="DO238" s="405"/>
    </row>
    <row r="239" ht="14.25" customHeight="1" spans="1:119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  <c r="CM239" s="405"/>
      <c r="CN239" s="406"/>
      <c r="CO239" s="405"/>
      <c r="CP239" s="405"/>
      <c r="CQ239" s="407"/>
      <c r="CR239" s="408"/>
      <c r="CS239" s="405"/>
      <c r="CT239" s="405"/>
      <c r="CU239" s="409"/>
      <c r="CV239" s="408"/>
      <c r="CW239" s="405"/>
      <c r="CX239" s="405"/>
      <c r="CY239" s="405"/>
      <c r="CZ239" s="408"/>
      <c r="DA239" s="405"/>
      <c r="DB239" s="405"/>
      <c r="DC239" s="405"/>
      <c r="DD239" s="408"/>
      <c r="DE239" s="405"/>
      <c r="DF239" s="405"/>
      <c r="DG239" s="405"/>
      <c r="DH239" s="408"/>
      <c r="DI239" s="405"/>
      <c r="DJ239" s="405"/>
      <c r="DK239" s="405"/>
      <c r="DL239" s="408"/>
      <c r="DM239" s="405"/>
      <c r="DN239" s="405"/>
      <c r="DO239" s="405"/>
    </row>
    <row r="240" ht="14.25" customHeight="1" spans="1:119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  <c r="CM240" s="405"/>
      <c r="CN240" s="406"/>
      <c r="CO240" s="405"/>
      <c r="CP240" s="405"/>
      <c r="CQ240" s="407"/>
      <c r="CR240" s="408"/>
      <c r="CS240" s="405"/>
      <c r="CT240" s="405"/>
      <c r="CU240" s="409"/>
      <c r="CV240" s="408"/>
      <c r="CW240" s="405"/>
      <c r="CX240" s="405"/>
      <c r="CY240" s="405"/>
      <c r="CZ240" s="408"/>
      <c r="DA240" s="405"/>
      <c r="DB240" s="405"/>
      <c r="DC240" s="405"/>
      <c r="DD240" s="408"/>
      <c r="DE240" s="405"/>
      <c r="DF240" s="405"/>
      <c r="DG240" s="405"/>
      <c r="DH240" s="408"/>
      <c r="DI240" s="405"/>
      <c r="DJ240" s="405"/>
      <c r="DK240" s="405"/>
      <c r="DL240" s="408"/>
      <c r="DM240" s="405"/>
      <c r="DN240" s="405"/>
      <c r="DO240" s="405"/>
    </row>
    <row r="241" ht="14.25" customHeight="1" spans="1:119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  <c r="CM241" s="405"/>
      <c r="CN241" s="406"/>
      <c r="CO241" s="405"/>
      <c r="CP241" s="405"/>
      <c r="CQ241" s="407"/>
      <c r="CR241" s="408"/>
      <c r="CS241" s="405"/>
      <c r="CT241" s="405"/>
      <c r="CU241" s="409"/>
      <c r="CV241" s="408"/>
      <c r="CW241" s="405"/>
      <c r="CX241" s="405"/>
      <c r="CY241" s="405"/>
      <c r="CZ241" s="408"/>
      <c r="DA241" s="405"/>
      <c r="DB241" s="405"/>
      <c r="DC241" s="405"/>
      <c r="DD241" s="408"/>
      <c r="DE241" s="405"/>
      <c r="DF241" s="405"/>
      <c r="DG241" s="405"/>
      <c r="DH241" s="408"/>
      <c r="DI241" s="405"/>
      <c r="DJ241" s="405"/>
      <c r="DK241" s="405"/>
      <c r="DL241" s="408"/>
      <c r="DM241" s="405"/>
      <c r="DN241" s="405"/>
      <c r="DO241" s="405"/>
    </row>
    <row r="242" ht="14.25" customHeight="1" spans="1:119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  <c r="CM242" s="405"/>
      <c r="CN242" s="406"/>
      <c r="CO242" s="405"/>
      <c r="CP242" s="405"/>
      <c r="CQ242" s="407"/>
      <c r="CR242" s="408"/>
      <c r="CS242" s="405"/>
      <c r="CT242" s="405"/>
      <c r="CU242" s="409"/>
      <c r="CV242" s="408"/>
      <c r="CW242" s="405"/>
      <c r="CX242" s="405"/>
      <c r="CY242" s="405"/>
      <c r="CZ242" s="408"/>
      <c r="DA242" s="405"/>
      <c r="DB242" s="405"/>
      <c r="DC242" s="405"/>
      <c r="DD242" s="408"/>
      <c r="DE242" s="405"/>
      <c r="DF242" s="405"/>
      <c r="DG242" s="405"/>
      <c r="DH242" s="408"/>
      <c r="DI242" s="405"/>
      <c r="DJ242" s="405"/>
      <c r="DK242" s="405"/>
      <c r="DL242" s="408"/>
      <c r="DM242" s="405"/>
      <c r="DN242" s="405"/>
      <c r="DO242" s="405"/>
    </row>
    <row r="243" ht="14.25" customHeight="1" spans="1:119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  <c r="CM243" s="405"/>
      <c r="CN243" s="406"/>
      <c r="CO243" s="405"/>
      <c r="CP243" s="405"/>
      <c r="CQ243" s="407"/>
      <c r="CR243" s="408"/>
      <c r="CS243" s="405"/>
      <c r="CT243" s="405"/>
      <c r="CU243" s="409"/>
      <c r="CV243" s="408"/>
      <c r="CW243" s="405"/>
      <c r="CX243" s="405"/>
      <c r="CY243" s="405"/>
      <c r="CZ243" s="408"/>
      <c r="DA243" s="405"/>
      <c r="DB243" s="405"/>
      <c r="DC243" s="405"/>
      <c r="DD243" s="408"/>
      <c r="DE243" s="405"/>
      <c r="DF243" s="405"/>
      <c r="DG243" s="405"/>
      <c r="DH243" s="408"/>
      <c r="DI243" s="405"/>
      <c r="DJ243" s="405"/>
      <c r="DK243" s="405"/>
      <c r="DL243" s="408"/>
      <c r="DM243" s="405"/>
      <c r="DN243" s="405"/>
      <c r="DO243" s="405"/>
    </row>
    <row r="244" ht="14.25" customHeight="1" spans="1:119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  <c r="CM244" s="405"/>
      <c r="CN244" s="406"/>
      <c r="CO244" s="405"/>
      <c r="CP244" s="405"/>
      <c r="CQ244" s="407"/>
      <c r="CR244" s="408"/>
      <c r="CS244" s="405"/>
      <c r="CT244" s="405"/>
      <c r="CU244" s="409"/>
      <c r="CV244" s="408"/>
      <c r="CW244" s="405"/>
      <c r="CX244" s="405"/>
      <c r="CY244" s="405"/>
      <c r="CZ244" s="408"/>
      <c r="DA244" s="405"/>
      <c r="DB244" s="405"/>
      <c r="DC244" s="405"/>
      <c r="DD244" s="408"/>
      <c r="DE244" s="405"/>
      <c r="DF244" s="405"/>
      <c r="DG244" s="405"/>
      <c r="DH244" s="408"/>
      <c r="DI244" s="405"/>
      <c r="DJ244" s="405"/>
      <c r="DK244" s="405"/>
      <c r="DL244" s="408"/>
      <c r="DM244" s="405"/>
      <c r="DN244" s="405"/>
      <c r="DO244" s="405"/>
    </row>
    <row r="245" ht="14.25" customHeight="1" spans="1:119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  <c r="CM245" s="405"/>
      <c r="CN245" s="406"/>
      <c r="CO245" s="405"/>
      <c r="CP245" s="405"/>
      <c r="CQ245" s="407"/>
      <c r="CR245" s="408"/>
      <c r="CS245" s="405"/>
      <c r="CT245" s="405"/>
      <c r="CU245" s="409"/>
      <c r="CV245" s="408"/>
      <c r="CW245" s="405"/>
      <c r="CX245" s="405"/>
      <c r="CY245" s="405"/>
      <c r="CZ245" s="408"/>
      <c r="DA245" s="405"/>
      <c r="DB245" s="405"/>
      <c r="DC245" s="405"/>
      <c r="DD245" s="408"/>
      <c r="DE245" s="405"/>
      <c r="DF245" s="405"/>
      <c r="DG245" s="405"/>
      <c r="DH245" s="408"/>
      <c r="DI245" s="405"/>
      <c r="DJ245" s="405"/>
      <c r="DK245" s="405"/>
      <c r="DL245" s="408"/>
      <c r="DM245" s="405"/>
      <c r="DN245" s="405"/>
      <c r="DO245" s="405"/>
    </row>
    <row r="246" ht="14.25" customHeight="1" spans="1:119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  <c r="CM246" s="405"/>
      <c r="CN246" s="406"/>
      <c r="CO246" s="405"/>
      <c r="CP246" s="405"/>
      <c r="CQ246" s="407"/>
      <c r="CR246" s="408"/>
      <c r="CS246" s="405"/>
      <c r="CT246" s="405"/>
      <c r="CU246" s="409"/>
      <c r="CV246" s="408"/>
      <c r="CW246" s="405"/>
      <c r="CX246" s="405"/>
      <c r="CY246" s="405"/>
      <c r="CZ246" s="408"/>
      <c r="DA246" s="405"/>
      <c r="DB246" s="405"/>
      <c r="DC246" s="405"/>
      <c r="DD246" s="408"/>
      <c r="DE246" s="405"/>
      <c r="DF246" s="405"/>
      <c r="DG246" s="405"/>
      <c r="DH246" s="408"/>
      <c r="DI246" s="405"/>
      <c r="DJ246" s="405"/>
      <c r="DK246" s="405"/>
      <c r="DL246" s="408"/>
      <c r="DM246" s="405"/>
      <c r="DN246" s="405"/>
      <c r="DO246" s="405"/>
    </row>
    <row r="247" ht="14.25" customHeight="1" spans="1:119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  <c r="CM247" s="405"/>
      <c r="CN247" s="406"/>
      <c r="CO247" s="405"/>
      <c r="CP247" s="405"/>
      <c r="CQ247" s="407"/>
      <c r="CR247" s="408"/>
      <c r="CS247" s="405"/>
      <c r="CT247" s="405"/>
      <c r="CU247" s="409"/>
      <c r="CV247" s="408"/>
      <c r="CW247" s="405"/>
      <c r="CX247" s="405"/>
      <c r="CY247" s="405"/>
      <c r="CZ247" s="408"/>
      <c r="DA247" s="405"/>
      <c r="DB247" s="405"/>
      <c r="DC247" s="405"/>
      <c r="DD247" s="408"/>
      <c r="DE247" s="405"/>
      <c r="DF247" s="405"/>
      <c r="DG247" s="405"/>
      <c r="DH247" s="408"/>
      <c r="DI247" s="405"/>
      <c r="DJ247" s="405"/>
      <c r="DK247" s="405"/>
      <c r="DL247" s="408"/>
      <c r="DM247" s="405"/>
      <c r="DN247" s="405"/>
      <c r="DO247" s="405"/>
    </row>
    <row r="248" ht="14.25" customHeight="1" spans="1:119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  <c r="CM248" s="405"/>
      <c r="CN248" s="406"/>
      <c r="CO248" s="405"/>
      <c r="CP248" s="405"/>
      <c r="CQ248" s="407"/>
      <c r="CR248" s="408"/>
      <c r="CS248" s="405"/>
      <c r="CT248" s="405"/>
      <c r="CU248" s="409"/>
      <c r="CV248" s="408"/>
      <c r="CW248" s="405"/>
      <c r="CX248" s="405"/>
      <c r="CY248" s="405"/>
      <c r="CZ248" s="408"/>
      <c r="DA248" s="405"/>
      <c r="DB248" s="405"/>
      <c r="DC248" s="405"/>
      <c r="DD248" s="408"/>
      <c r="DE248" s="405"/>
      <c r="DF248" s="405"/>
      <c r="DG248" s="405"/>
      <c r="DH248" s="408"/>
      <c r="DI248" s="405"/>
      <c r="DJ248" s="405"/>
      <c r="DK248" s="405"/>
      <c r="DL248" s="408"/>
      <c r="DM248" s="405"/>
      <c r="DN248" s="405"/>
      <c r="DO248" s="405"/>
    </row>
    <row r="249" ht="14.25" customHeight="1" spans="1:119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  <c r="CM249" s="405"/>
      <c r="CN249" s="406"/>
      <c r="CO249" s="405"/>
      <c r="CP249" s="405"/>
      <c r="CQ249" s="407"/>
      <c r="CR249" s="408"/>
      <c r="CS249" s="405"/>
      <c r="CT249" s="405"/>
      <c r="CU249" s="409"/>
      <c r="CV249" s="408"/>
      <c r="CW249" s="405"/>
      <c r="CX249" s="405"/>
      <c r="CY249" s="405"/>
      <c r="CZ249" s="408"/>
      <c r="DA249" s="405"/>
      <c r="DB249" s="405"/>
      <c r="DC249" s="405"/>
      <c r="DD249" s="408"/>
      <c r="DE249" s="405"/>
      <c r="DF249" s="405"/>
      <c r="DG249" s="405"/>
      <c r="DH249" s="408"/>
      <c r="DI249" s="405"/>
      <c r="DJ249" s="405"/>
      <c r="DK249" s="405"/>
      <c r="DL249" s="408"/>
      <c r="DM249" s="405"/>
      <c r="DN249" s="405"/>
      <c r="DO249" s="405"/>
    </row>
    <row r="250" ht="14.25" customHeight="1" spans="1:119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  <c r="CM250" s="405"/>
      <c r="CN250" s="406"/>
      <c r="CO250" s="405"/>
      <c r="CP250" s="405"/>
      <c r="CQ250" s="407"/>
      <c r="CR250" s="408"/>
      <c r="CS250" s="405"/>
      <c r="CT250" s="405"/>
      <c r="CU250" s="409"/>
      <c r="CV250" s="408"/>
      <c r="CW250" s="405"/>
      <c r="CX250" s="405"/>
      <c r="CY250" s="405"/>
      <c r="CZ250" s="408"/>
      <c r="DA250" s="405"/>
      <c r="DB250" s="405"/>
      <c r="DC250" s="405"/>
      <c r="DD250" s="408"/>
      <c r="DE250" s="405"/>
      <c r="DF250" s="405"/>
      <c r="DG250" s="405"/>
      <c r="DH250" s="408"/>
      <c r="DI250" s="405"/>
      <c r="DJ250" s="405"/>
      <c r="DK250" s="405"/>
      <c r="DL250" s="408"/>
      <c r="DM250" s="405"/>
      <c r="DN250" s="405"/>
      <c r="DO250" s="405"/>
    </row>
    <row r="251" ht="14.25" customHeight="1" spans="1:119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  <c r="CM251" s="405"/>
      <c r="CN251" s="406"/>
      <c r="CO251" s="405"/>
      <c r="CP251" s="405"/>
      <c r="CQ251" s="407"/>
      <c r="CR251" s="408"/>
      <c r="CS251" s="405"/>
      <c r="CT251" s="405"/>
      <c r="CU251" s="409"/>
      <c r="CV251" s="408"/>
      <c r="CW251" s="405"/>
      <c r="CX251" s="405"/>
      <c r="CY251" s="405"/>
      <c r="CZ251" s="408"/>
      <c r="DA251" s="405"/>
      <c r="DB251" s="405"/>
      <c r="DC251" s="405"/>
      <c r="DD251" s="408"/>
      <c r="DE251" s="405"/>
      <c r="DF251" s="405"/>
      <c r="DG251" s="405"/>
      <c r="DH251" s="408"/>
      <c r="DI251" s="405"/>
      <c r="DJ251" s="405"/>
      <c r="DK251" s="405"/>
      <c r="DL251" s="408"/>
      <c r="DM251" s="405"/>
      <c r="DN251" s="405"/>
      <c r="DO251" s="405"/>
    </row>
    <row r="252" ht="14.25" customHeight="1" spans="1:119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  <c r="CM252" s="405"/>
      <c r="CN252" s="406"/>
      <c r="CO252" s="405"/>
      <c r="CP252" s="405"/>
      <c r="CQ252" s="407"/>
      <c r="CR252" s="408"/>
      <c r="CS252" s="405"/>
      <c r="CT252" s="405"/>
      <c r="CU252" s="409"/>
      <c r="CV252" s="408"/>
      <c r="CW252" s="405"/>
      <c r="CX252" s="405"/>
      <c r="CY252" s="405"/>
      <c r="CZ252" s="408"/>
      <c r="DA252" s="405"/>
      <c r="DB252" s="405"/>
      <c r="DC252" s="405"/>
      <c r="DD252" s="408"/>
      <c r="DE252" s="405"/>
      <c r="DF252" s="405"/>
      <c r="DG252" s="405"/>
      <c r="DH252" s="408"/>
      <c r="DI252" s="405"/>
      <c r="DJ252" s="405"/>
      <c r="DK252" s="405"/>
      <c r="DL252" s="408"/>
      <c r="DM252" s="405"/>
      <c r="DN252" s="405"/>
      <c r="DO252" s="405"/>
    </row>
    <row r="253" ht="14.25" customHeight="1" spans="1:119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  <c r="CM253" s="405"/>
      <c r="CN253" s="406"/>
      <c r="CO253" s="405"/>
      <c r="CP253" s="405"/>
      <c r="CQ253" s="407"/>
      <c r="CR253" s="408"/>
      <c r="CS253" s="405"/>
      <c r="CT253" s="405"/>
      <c r="CU253" s="409"/>
      <c r="CV253" s="408"/>
      <c r="CW253" s="405"/>
      <c r="CX253" s="405"/>
      <c r="CY253" s="405"/>
      <c r="CZ253" s="408"/>
      <c r="DA253" s="405"/>
      <c r="DB253" s="405"/>
      <c r="DC253" s="405"/>
      <c r="DD253" s="408"/>
      <c r="DE253" s="405"/>
      <c r="DF253" s="405"/>
      <c r="DG253" s="405"/>
      <c r="DH253" s="408"/>
      <c r="DI253" s="405"/>
      <c r="DJ253" s="405"/>
      <c r="DK253" s="405"/>
      <c r="DL253" s="408"/>
      <c r="DM253" s="405"/>
      <c r="DN253" s="405"/>
      <c r="DO253" s="405"/>
    </row>
    <row r="254" ht="14.25" customHeight="1" spans="1:119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  <c r="CM254" s="405"/>
      <c r="CN254" s="406"/>
      <c r="CO254" s="405"/>
      <c r="CP254" s="405"/>
      <c r="CQ254" s="407"/>
      <c r="CR254" s="408"/>
      <c r="CS254" s="405"/>
      <c r="CT254" s="405"/>
      <c r="CU254" s="409"/>
      <c r="CV254" s="408"/>
      <c r="CW254" s="405"/>
      <c r="CX254" s="405"/>
      <c r="CY254" s="405"/>
      <c r="CZ254" s="408"/>
      <c r="DA254" s="405"/>
      <c r="DB254" s="405"/>
      <c r="DC254" s="405"/>
      <c r="DD254" s="408"/>
      <c r="DE254" s="405"/>
      <c r="DF254" s="405"/>
      <c r="DG254" s="405"/>
      <c r="DH254" s="408"/>
      <c r="DI254" s="405"/>
      <c r="DJ254" s="405"/>
      <c r="DK254" s="405"/>
      <c r="DL254" s="408"/>
      <c r="DM254" s="405"/>
      <c r="DN254" s="405"/>
      <c r="DO254" s="405"/>
    </row>
    <row r="255" ht="14.25" customHeight="1" spans="1:119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  <c r="CM255" s="405"/>
      <c r="CN255" s="406"/>
      <c r="CO255" s="405"/>
      <c r="CP255" s="405"/>
      <c r="CQ255" s="407"/>
      <c r="CR255" s="408"/>
      <c r="CS255" s="405"/>
      <c r="CT255" s="405"/>
      <c r="CU255" s="409"/>
      <c r="CV255" s="408"/>
      <c r="CW255" s="405"/>
      <c r="CX255" s="405"/>
      <c r="CY255" s="405"/>
      <c r="CZ255" s="408"/>
      <c r="DA255" s="405"/>
      <c r="DB255" s="405"/>
      <c r="DC255" s="405"/>
      <c r="DD255" s="408"/>
      <c r="DE255" s="405"/>
      <c r="DF255" s="405"/>
      <c r="DG255" s="405"/>
      <c r="DH255" s="408"/>
      <c r="DI255" s="405"/>
      <c r="DJ255" s="405"/>
      <c r="DK255" s="405"/>
      <c r="DL255" s="408"/>
      <c r="DM255" s="405"/>
      <c r="DN255" s="405"/>
      <c r="DO255" s="405"/>
    </row>
    <row r="256" ht="14.25" customHeight="1" spans="1:119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  <c r="CM256" s="405"/>
      <c r="CN256" s="406"/>
      <c r="CO256" s="405"/>
      <c r="CP256" s="405"/>
      <c r="CQ256" s="407"/>
      <c r="CR256" s="408"/>
      <c r="CS256" s="405"/>
      <c r="CT256" s="405"/>
      <c r="CU256" s="409"/>
      <c r="CV256" s="408"/>
      <c r="CW256" s="405"/>
      <c r="CX256" s="405"/>
      <c r="CY256" s="405"/>
      <c r="CZ256" s="408"/>
      <c r="DA256" s="405"/>
      <c r="DB256" s="405"/>
      <c r="DC256" s="405"/>
      <c r="DD256" s="408"/>
      <c r="DE256" s="405"/>
      <c r="DF256" s="405"/>
      <c r="DG256" s="405"/>
      <c r="DH256" s="408"/>
      <c r="DI256" s="405"/>
      <c r="DJ256" s="405"/>
      <c r="DK256" s="405"/>
      <c r="DL256" s="408"/>
      <c r="DM256" s="405"/>
      <c r="DN256" s="405"/>
      <c r="DO256" s="405"/>
    </row>
    <row r="257" ht="14.25" customHeight="1" spans="1:119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  <c r="CM257" s="405"/>
      <c r="CN257" s="406"/>
      <c r="CO257" s="405"/>
      <c r="CP257" s="405"/>
      <c r="CQ257" s="407"/>
      <c r="CR257" s="408"/>
      <c r="CS257" s="405"/>
      <c r="CT257" s="405"/>
      <c r="CU257" s="409"/>
      <c r="CV257" s="408"/>
      <c r="CW257" s="405"/>
      <c r="CX257" s="405"/>
      <c r="CY257" s="405"/>
      <c r="CZ257" s="408"/>
      <c r="DA257" s="405"/>
      <c r="DB257" s="405"/>
      <c r="DC257" s="405"/>
      <c r="DD257" s="408"/>
      <c r="DE257" s="405"/>
      <c r="DF257" s="405"/>
      <c r="DG257" s="405"/>
      <c r="DH257" s="408"/>
      <c r="DI257" s="405"/>
      <c r="DJ257" s="405"/>
      <c r="DK257" s="405"/>
      <c r="DL257" s="408"/>
      <c r="DM257" s="405"/>
      <c r="DN257" s="405"/>
      <c r="DO257" s="405"/>
    </row>
    <row r="258" ht="14.25" customHeight="1" spans="1:119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  <c r="CM258" s="405"/>
      <c r="CN258" s="406"/>
      <c r="CO258" s="405"/>
      <c r="CP258" s="405"/>
      <c r="CQ258" s="407"/>
      <c r="CR258" s="408"/>
      <c r="CS258" s="405"/>
      <c r="CT258" s="405"/>
      <c r="CU258" s="409"/>
      <c r="CV258" s="408"/>
      <c r="CW258" s="405"/>
      <c r="CX258" s="405"/>
      <c r="CY258" s="405"/>
      <c r="CZ258" s="408"/>
      <c r="DA258" s="405"/>
      <c r="DB258" s="405"/>
      <c r="DC258" s="405"/>
      <c r="DD258" s="408"/>
      <c r="DE258" s="405"/>
      <c r="DF258" s="405"/>
      <c r="DG258" s="405"/>
      <c r="DH258" s="408"/>
      <c r="DI258" s="405"/>
      <c r="DJ258" s="405"/>
      <c r="DK258" s="405"/>
      <c r="DL258" s="408"/>
      <c r="DM258" s="405"/>
      <c r="DN258" s="405"/>
      <c r="DO258" s="405"/>
    </row>
    <row r="259" ht="14.25" customHeight="1" spans="1:119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  <c r="CM259" s="405"/>
      <c r="CN259" s="406"/>
      <c r="CO259" s="405"/>
      <c r="CP259" s="405"/>
      <c r="CQ259" s="407"/>
      <c r="CR259" s="408"/>
      <c r="CS259" s="405"/>
      <c r="CT259" s="405"/>
      <c r="CU259" s="409"/>
      <c r="CV259" s="408"/>
      <c r="CW259" s="405"/>
      <c r="CX259" s="405"/>
      <c r="CY259" s="405"/>
      <c r="CZ259" s="408"/>
      <c r="DA259" s="405"/>
      <c r="DB259" s="405"/>
      <c r="DC259" s="405"/>
      <c r="DD259" s="408"/>
      <c r="DE259" s="405"/>
      <c r="DF259" s="405"/>
      <c r="DG259" s="405"/>
      <c r="DH259" s="408"/>
      <c r="DI259" s="405"/>
      <c r="DJ259" s="405"/>
      <c r="DK259" s="405"/>
      <c r="DL259" s="408"/>
      <c r="DM259" s="405"/>
      <c r="DN259" s="405"/>
      <c r="DO259" s="405"/>
    </row>
    <row r="260" ht="14.25" customHeight="1" spans="1:119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  <c r="CM260" s="405"/>
      <c r="CN260" s="406"/>
      <c r="CO260" s="405"/>
      <c r="CP260" s="405"/>
      <c r="CQ260" s="407"/>
      <c r="CR260" s="408"/>
      <c r="CS260" s="405"/>
      <c r="CT260" s="405"/>
      <c r="CU260" s="409"/>
      <c r="CV260" s="408"/>
      <c r="CW260" s="405"/>
      <c r="CX260" s="405"/>
      <c r="CY260" s="405"/>
      <c r="CZ260" s="408"/>
      <c r="DA260" s="405"/>
      <c r="DB260" s="405"/>
      <c r="DC260" s="405"/>
      <c r="DD260" s="408"/>
      <c r="DE260" s="405"/>
      <c r="DF260" s="405"/>
      <c r="DG260" s="405"/>
      <c r="DH260" s="408"/>
      <c r="DI260" s="405"/>
      <c r="DJ260" s="405"/>
      <c r="DK260" s="405"/>
      <c r="DL260" s="408"/>
      <c r="DM260" s="405"/>
      <c r="DN260" s="405"/>
      <c r="DO260" s="405"/>
    </row>
    <row r="261" ht="14.25" customHeight="1" spans="1:119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  <c r="CM261" s="405"/>
      <c r="CN261" s="406"/>
      <c r="CO261" s="405"/>
      <c r="CP261" s="405"/>
      <c r="CQ261" s="407"/>
      <c r="CR261" s="408"/>
      <c r="CS261" s="405"/>
      <c r="CT261" s="405"/>
      <c r="CU261" s="409"/>
      <c r="CV261" s="408"/>
      <c r="CW261" s="405"/>
      <c r="CX261" s="405"/>
      <c r="CY261" s="405"/>
      <c r="CZ261" s="408"/>
      <c r="DA261" s="405"/>
      <c r="DB261" s="405"/>
      <c r="DC261" s="405"/>
      <c r="DD261" s="408"/>
      <c r="DE261" s="405"/>
      <c r="DF261" s="405"/>
      <c r="DG261" s="405"/>
      <c r="DH261" s="408"/>
      <c r="DI261" s="405"/>
      <c r="DJ261" s="405"/>
      <c r="DK261" s="405"/>
      <c r="DL261" s="408"/>
      <c r="DM261" s="405"/>
      <c r="DN261" s="405"/>
      <c r="DO261" s="405"/>
    </row>
    <row r="262" ht="14.25" customHeight="1" spans="1:119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  <c r="CM262" s="405"/>
      <c r="CN262" s="406"/>
      <c r="CO262" s="405"/>
      <c r="CP262" s="405"/>
      <c r="CQ262" s="407"/>
      <c r="CR262" s="408"/>
      <c r="CS262" s="405"/>
      <c r="CT262" s="405"/>
      <c r="CU262" s="409"/>
      <c r="CV262" s="408"/>
      <c r="CW262" s="405"/>
      <c r="CX262" s="405"/>
      <c r="CY262" s="405"/>
      <c r="CZ262" s="408"/>
      <c r="DA262" s="405"/>
      <c r="DB262" s="405"/>
      <c r="DC262" s="405"/>
      <c r="DD262" s="408"/>
      <c r="DE262" s="405"/>
      <c r="DF262" s="405"/>
      <c r="DG262" s="405"/>
      <c r="DH262" s="408"/>
      <c r="DI262" s="405"/>
      <c r="DJ262" s="405"/>
      <c r="DK262" s="405"/>
      <c r="DL262" s="408"/>
      <c r="DM262" s="405"/>
      <c r="DN262" s="405"/>
      <c r="DO262" s="405"/>
    </row>
    <row r="263" ht="14.25" customHeight="1" spans="1:119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  <c r="CM263" s="405"/>
      <c r="CN263" s="406"/>
      <c r="CO263" s="405"/>
      <c r="CP263" s="405"/>
      <c r="CQ263" s="407"/>
      <c r="CR263" s="408"/>
      <c r="CS263" s="405"/>
      <c r="CT263" s="405"/>
      <c r="CU263" s="409"/>
      <c r="CV263" s="408"/>
      <c r="CW263" s="405"/>
      <c r="CX263" s="405"/>
      <c r="CY263" s="405"/>
      <c r="CZ263" s="408"/>
      <c r="DA263" s="405"/>
      <c r="DB263" s="405"/>
      <c r="DC263" s="405"/>
      <c r="DD263" s="408"/>
      <c r="DE263" s="405"/>
      <c r="DF263" s="405"/>
      <c r="DG263" s="405"/>
      <c r="DH263" s="408"/>
      <c r="DI263" s="405"/>
      <c r="DJ263" s="405"/>
      <c r="DK263" s="405"/>
      <c r="DL263" s="408"/>
      <c r="DM263" s="405"/>
      <c r="DN263" s="405"/>
      <c r="DO263" s="405"/>
    </row>
    <row r="264" ht="14.25" customHeight="1" spans="1:119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  <c r="CM264" s="405"/>
      <c r="CN264" s="406"/>
      <c r="CO264" s="405"/>
      <c r="CP264" s="405"/>
      <c r="CQ264" s="407"/>
      <c r="CR264" s="408"/>
      <c r="CS264" s="405"/>
      <c r="CT264" s="405"/>
      <c r="CU264" s="409"/>
      <c r="CV264" s="408"/>
      <c r="CW264" s="405"/>
      <c r="CX264" s="405"/>
      <c r="CY264" s="405"/>
      <c r="CZ264" s="408"/>
      <c r="DA264" s="405"/>
      <c r="DB264" s="405"/>
      <c r="DC264" s="405"/>
      <c r="DD264" s="408"/>
      <c r="DE264" s="405"/>
      <c r="DF264" s="405"/>
      <c r="DG264" s="405"/>
      <c r="DH264" s="408"/>
      <c r="DI264" s="405"/>
      <c r="DJ264" s="405"/>
      <c r="DK264" s="405"/>
      <c r="DL264" s="408"/>
      <c r="DM264" s="405"/>
      <c r="DN264" s="405"/>
      <c r="DO264" s="405"/>
    </row>
    <row r="265" ht="14.25" customHeight="1" spans="1:119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  <c r="CM265" s="405"/>
      <c r="CN265" s="406"/>
      <c r="CO265" s="405"/>
      <c r="CP265" s="405"/>
      <c r="CQ265" s="407"/>
      <c r="CR265" s="408"/>
      <c r="CS265" s="405"/>
      <c r="CT265" s="405"/>
      <c r="CU265" s="409"/>
      <c r="CV265" s="408"/>
      <c r="CW265" s="405"/>
      <c r="CX265" s="405"/>
      <c r="CY265" s="405"/>
      <c r="CZ265" s="408"/>
      <c r="DA265" s="405"/>
      <c r="DB265" s="405"/>
      <c r="DC265" s="405"/>
      <c r="DD265" s="408"/>
      <c r="DE265" s="405"/>
      <c r="DF265" s="405"/>
      <c r="DG265" s="405"/>
      <c r="DH265" s="408"/>
      <c r="DI265" s="405"/>
      <c r="DJ265" s="405"/>
      <c r="DK265" s="405"/>
      <c r="DL265" s="408"/>
      <c r="DM265" s="405"/>
      <c r="DN265" s="405"/>
      <c r="DO265" s="405"/>
    </row>
    <row r="266" ht="14.25" customHeight="1" spans="1:119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  <c r="CM266" s="405"/>
      <c r="CN266" s="406"/>
      <c r="CO266" s="405"/>
      <c r="CP266" s="405"/>
      <c r="CQ266" s="407"/>
      <c r="CR266" s="408"/>
      <c r="CS266" s="405"/>
      <c r="CT266" s="405"/>
      <c r="CU266" s="409"/>
      <c r="CV266" s="408"/>
      <c r="CW266" s="405"/>
      <c r="CX266" s="405"/>
      <c r="CY266" s="405"/>
      <c r="CZ266" s="408"/>
      <c r="DA266" s="405"/>
      <c r="DB266" s="405"/>
      <c r="DC266" s="405"/>
      <c r="DD266" s="408"/>
      <c r="DE266" s="405"/>
      <c r="DF266" s="405"/>
      <c r="DG266" s="405"/>
      <c r="DH266" s="408"/>
      <c r="DI266" s="405"/>
      <c r="DJ266" s="405"/>
      <c r="DK266" s="405"/>
      <c r="DL266" s="408"/>
      <c r="DM266" s="405"/>
      <c r="DN266" s="405"/>
      <c r="DO266" s="405"/>
    </row>
    <row r="267" ht="14.25" customHeight="1" spans="1:119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  <c r="CM267" s="405"/>
      <c r="CN267" s="406"/>
      <c r="CO267" s="405"/>
      <c r="CP267" s="405"/>
      <c r="CQ267" s="407"/>
      <c r="CR267" s="408"/>
      <c r="CS267" s="405"/>
      <c r="CT267" s="405"/>
      <c r="CU267" s="409"/>
      <c r="CV267" s="408"/>
      <c r="CW267" s="405"/>
      <c r="CX267" s="405"/>
      <c r="CY267" s="405"/>
      <c r="CZ267" s="408"/>
      <c r="DA267" s="405"/>
      <c r="DB267" s="405"/>
      <c r="DC267" s="405"/>
      <c r="DD267" s="408"/>
      <c r="DE267" s="405"/>
      <c r="DF267" s="405"/>
      <c r="DG267" s="405"/>
      <c r="DH267" s="408"/>
      <c r="DI267" s="405"/>
      <c r="DJ267" s="405"/>
      <c r="DK267" s="405"/>
      <c r="DL267" s="408"/>
      <c r="DM267" s="405"/>
      <c r="DN267" s="405"/>
      <c r="DO267" s="405"/>
    </row>
    <row r="268" ht="14.25" customHeight="1" spans="1:119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  <c r="CM268" s="405"/>
      <c r="CN268" s="406"/>
      <c r="CO268" s="405"/>
      <c r="CP268" s="405"/>
      <c r="CQ268" s="407"/>
      <c r="CR268" s="408"/>
      <c r="CS268" s="405"/>
      <c r="CT268" s="405"/>
      <c r="CU268" s="409"/>
      <c r="CV268" s="408"/>
      <c r="CW268" s="405"/>
      <c r="CX268" s="405"/>
      <c r="CY268" s="405"/>
      <c r="CZ268" s="408"/>
      <c r="DA268" s="405"/>
      <c r="DB268" s="405"/>
      <c r="DC268" s="405"/>
      <c r="DD268" s="408"/>
      <c r="DE268" s="405"/>
      <c r="DF268" s="405"/>
      <c r="DG268" s="405"/>
      <c r="DH268" s="408"/>
      <c r="DI268" s="405"/>
      <c r="DJ268" s="405"/>
      <c r="DK268" s="405"/>
      <c r="DL268" s="408"/>
      <c r="DM268" s="405"/>
      <c r="DN268" s="405"/>
      <c r="DO268" s="405"/>
    </row>
    <row r="269" ht="14.25" customHeight="1" spans="1:119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  <c r="CM269" s="405"/>
      <c r="CN269" s="406"/>
      <c r="CO269" s="405"/>
      <c r="CP269" s="405"/>
      <c r="CQ269" s="407"/>
      <c r="CR269" s="408"/>
      <c r="CS269" s="405"/>
      <c r="CT269" s="405"/>
      <c r="CU269" s="409"/>
      <c r="CV269" s="408"/>
      <c r="CW269" s="405"/>
      <c r="CX269" s="405"/>
      <c r="CY269" s="405"/>
      <c r="CZ269" s="408"/>
      <c r="DA269" s="405"/>
      <c r="DB269" s="405"/>
      <c r="DC269" s="405"/>
      <c r="DD269" s="408"/>
      <c r="DE269" s="405"/>
      <c r="DF269" s="405"/>
      <c r="DG269" s="405"/>
      <c r="DH269" s="408"/>
      <c r="DI269" s="405"/>
      <c r="DJ269" s="405"/>
      <c r="DK269" s="405"/>
      <c r="DL269" s="408"/>
      <c r="DM269" s="405"/>
      <c r="DN269" s="405"/>
      <c r="DO269" s="405"/>
    </row>
    <row r="270" ht="14.25" customHeight="1" spans="1:119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  <c r="CM270" s="405"/>
      <c r="CN270" s="406"/>
      <c r="CO270" s="405"/>
      <c r="CP270" s="405"/>
      <c r="CQ270" s="407"/>
      <c r="CR270" s="408"/>
      <c r="CS270" s="405"/>
      <c r="CT270" s="405"/>
      <c r="CU270" s="409"/>
      <c r="CV270" s="408"/>
      <c r="CW270" s="405"/>
      <c r="CX270" s="405"/>
      <c r="CY270" s="405"/>
      <c r="CZ270" s="408"/>
      <c r="DA270" s="405"/>
      <c r="DB270" s="405"/>
      <c r="DC270" s="405"/>
      <c r="DD270" s="408"/>
      <c r="DE270" s="405"/>
      <c r="DF270" s="405"/>
      <c r="DG270" s="405"/>
      <c r="DH270" s="408"/>
      <c r="DI270" s="405"/>
      <c r="DJ270" s="405"/>
      <c r="DK270" s="405"/>
      <c r="DL270" s="408"/>
      <c r="DM270" s="405"/>
      <c r="DN270" s="405"/>
      <c r="DO270" s="405"/>
    </row>
    <row r="271" ht="14.25" customHeight="1" spans="1:119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  <c r="CM271" s="405"/>
      <c r="CN271" s="406"/>
      <c r="CO271" s="405"/>
      <c r="CP271" s="405"/>
      <c r="CQ271" s="407"/>
      <c r="CR271" s="408"/>
      <c r="CS271" s="405"/>
      <c r="CT271" s="405"/>
      <c r="CU271" s="409"/>
      <c r="CV271" s="408"/>
      <c r="CW271" s="405"/>
      <c r="CX271" s="405"/>
      <c r="CY271" s="405"/>
      <c r="CZ271" s="408"/>
      <c r="DA271" s="405"/>
      <c r="DB271" s="405"/>
      <c r="DC271" s="405"/>
      <c r="DD271" s="408"/>
      <c r="DE271" s="405"/>
      <c r="DF271" s="405"/>
      <c r="DG271" s="405"/>
      <c r="DH271" s="408"/>
      <c r="DI271" s="405"/>
      <c r="DJ271" s="405"/>
      <c r="DK271" s="405"/>
      <c r="DL271" s="408"/>
      <c r="DM271" s="405"/>
      <c r="DN271" s="405"/>
      <c r="DO271" s="405"/>
    </row>
    <row r="272" ht="14.25" customHeight="1" spans="1:119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  <c r="CM272" s="405"/>
      <c r="CN272" s="406"/>
      <c r="CO272" s="405"/>
      <c r="CP272" s="405"/>
      <c r="CQ272" s="407"/>
      <c r="CR272" s="408"/>
      <c r="CS272" s="405"/>
      <c r="CT272" s="405"/>
      <c r="CU272" s="409"/>
      <c r="CV272" s="408"/>
      <c r="CW272" s="405"/>
      <c r="CX272" s="405"/>
      <c r="CY272" s="405"/>
      <c r="CZ272" s="408"/>
      <c r="DA272" s="405"/>
      <c r="DB272" s="405"/>
      <c r="DC272" s="405"/>
      <c r="DD272" s="408"/>
      <c r="DE272" s="405"/>
      <c r="DF272" s="405"/>
      <c r="DG272" s="405"/>
      <c r="DH272" s="408"/>
      <c r="DI272" s="405"/>
      <c r="DJ272" s="405"/>
      <c r="DK272" s="405"/>
      <c r="DL272" s="408"/>
      <c r="DM272" s="405"/>
      <c r="DN272" s="405"/>
      <c r="DO272" s="405"/>
    </row>
    <row r="273" ht="14.25" customHeight="1" spans="1:119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  <c r="CM273" s="405"/>
      <c r="CN273" s="406"/>
      <c r="CO273" s="405"/>
      <c r="CP273" s="405"/>
      <c r="CQ273" s="407"/>
      <c r="CR273" s="408"/>
      <c r="CS273" s="405"/>
      <c r="CT273" s="405"/>
      <c r="CU273" s="409"/>
      <c r="CV273" s="408"/>
      <c r="CW273" s="405"/>
      <c r="CX273" s="405"/>
      <c r="CY273" s="405"/>
      <c r="CZ273" s="408"/>
      <c r="DA273" s="405"/>
      <c r="DB273" s="405"/>
      <c r="DC273" s="405"/>
      <c r="DD273" s="408"/>
      <c r="DE273" s="405"/>
      <c r="DF273" s="405"/>
      <c r="DG273" s="405"/>
      <c r="DH273" s="408"/>
      <c r="DI273" s="405"/>
      <c r="DJ273" s="405"/>
      <c r="DK273" s="405"/>
      <c r="DL273" s="408"/>
      <c r="DM273" s="405"/>
      <c r="DN273" s="405"/>
      <c r="DO273" s="405"/>
    </row>
    <row r="274" ht="14.25" customHeight="1" spans="1:119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  <c r="CM274" s="405"/>
      <c r="CN274" s="406"/>
      <c r="CO274" s="405"/>
      <c r="CP274" s="405"/>
      <c r="CQ274" s="407"/>
      <c r="CR274" s="408"/>
      <c r="CS274" s="405"/>
      <c r="CT274" s="405"/>
      <c r="CU274" s="409"/>
      <c r="CV274" s="408"/>
      <c r="CW274" s="405"/>
      <c r="CX274" s="405"/>
      <c r="CY274" s="405"/>
      <c r="CZ274" s="408"/>
      <c r="DA274" s="405"/>
      <c r="DB274" s="405"/>
      <c r="DC274" s="405"/>
      <c r="DD274" s="408"/>
      <c r="DE274" s="405"/>
      <c r="DF274" s="405"/>
      <c r="DG274" s="405"/>
      <c r="DH274" s="408"/>
      <c r="DI274" s="405"/>
      <c r="DJ274" s="405"/>
      <c r="DK274" s="405"/>
      <c r="DL274" s="408"/>
      <c r="DM274" s="405"/>
      <c r="DN274" s="405"/>
      <c r="DO274" s="405"/>
    </row>
    <row r="275" ht="14.25" customHeight="1" spans="1:119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  <c r="CM275" s="405"/>
      <c r="CN275" s="406"/>
      <c r="CO275" s="405"/>
      <c r="CP275" s="405"/>
      <c r="CQ275" s="407"/>
      <c r="CR275" s="408"/>
      <c r="CS275" s="405"/>
      <c r="CT275" s="405"/>
      <c r="CU275" s="409"/>
      <c r="CV275" s="408"/>
      <c r="CW275" s="405"/>
      <c r="CX275" s="405"/>
      <c r="CY275" s="405"/>
      <c r="CZ275" s="408"/>
      <c r="DA275" s="405"/>
      <c r="DB275" s="405"/>
      <c r="DC275" s="405"/>
      <c r="DD275" s="408"/>
      <c r="DE275" s="405"/>
      <c r="DF275" s="405"/>
      <c r="DG275" s="405"/>
      <c r="DH275" s="408"/>
      <c r="DI275" s="405"/>
      <c r="DJ275" s="405"/>
      <c r="DK275" s="405"/>
      <c r="DL275" s="408"/>
      <c r="DM275" s="405"/>
      <c r="DN275" s="405"/>
      <c r="DO275" s="405"/>
    </row>
    <row r="276" ht="14.25" customHeight="1" spans="1:119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  <c r="CM276" s="405"/>
      <c r="CN276" s="406"/>
      <c r="CO276" s="405"/>
      <c r="CP276" s="405"/>
      <c r="CQ276" s="407"/>
      <c r="CR276" s="408"/>
      <c r="CS276" s="405"/>
      <c r="CT276" s="405"/>
      <c r="CU276" s="409"/>
      <c r="CV276" s="408"/>
      <c r="CW276" s="405"/>
      <c r="CX276" s="405"/>
      <c r="CY276" s="405"/>
      <c r="CZ276" s="408"/>
      <c r="DA276" s="405"/>
      <c r="DB276" s="405"/>
      <c r="DC276" s="405"/>
      <c r="DD276" s="408"/>
      <c r="DE276" s="405"/>
      <c r="DF276" s="405"/>
      <c r="DG276" s="405"/>
      <c r="DH276" s="408"/>
      <c r="DI276" s="405"/>
      <c r="DJ276" s="405"/>
      <c r="DK276" s="405"/>
      <c r="DL276" s="408"/>
      <c r="DM276" s="405"/>
      <c r="DN276" s="405"/>
      <c r="DO276" s="405"/>
    </row>
    <row r="277" ht="14.25" customHeight="1" spans="1:119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  <c r="CM277" s="405"/>
      <c r="CN277" s="406"/>
      <c r="CO277" s="405"/>
      <c r="CP277" s="405"/>
      <c r="CQ277" s="407"/>
      <c r="CR277" s="408"/>
      <c r="CS277" s="405"/>
      <c r="CT277" s="405"/>
      <c r="CU277" s="409"/>
      <c r="CV277" s="408"/>
      <c r="CW277" s="405"/>
      <c r="CX277" s="405"/>
      <c r="CY277" s="405"/>
      <c r="CZ277" s="408"/>
      <c r="DA277" s="405"/>
      <c r="DB277" s="405"/>
      <c r="DC277" s="405"/>
      <c r="DD277" s="408"/>
      <c r="DE277" s="405"/>
      <c r="DF277" s="405"/>
      <c r="DG277" s="405"/>
      <c r="DH277" s="408"/>
      <c r="DI277" s="405"/>
      <c r="DJ277" s="405"/>
      <c r="DK277" s="405"/>
      <c r="DL277" s="408"/>
      <c r="DM277" s="405"/>
      <c r="DN277" s="405"/>
      <c r="DO277" s="405"/>
    </row>
    <row r="278" ht="14.25" customHeight="1" spans="1:119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  <c r="CM278" s="405"/>
      <c r="CN278" s="406"/>
      <c r="CO278" s="405"/>
      <c r="CP278" s="405"/>
      <c r="CQ278" s="407"/>
      <c r="CR278" s="408"/>
      <c r="CS278" s="405"/>
      <c r="CT278" s="405"/>
      <c r="CU278" s="409"/>
      <c r="CV278" s="408"/>
      <c r="CW278" s="405"/>
      <c r="CX278" s="405"/>
      <c r="CY278" s="405"/>
      <c r="CZ278" s="408"/>
      <c r="DA278" s="405"/>
      <c r="DB278" s="405"/>
      <c r="DC278" s="405"/>
      <c r="DD278" s="408"/>
      <c r="DE278" s="405"/>
      <c r="DF278" s="405"/>
      <c r="DG278" s="405"/>
      <c r="DH278" s="408"/>
      <c r="DI278" s="405"/>
      <c r="DJ278" s="405"/>
      <c r="DK278" s="405"/>
      <c r="DL278" s="408"/>
      <c r="DM278" s="405"/>
      <c r="DN278" s="405"/>
      <c r="DO278" s="405"/>
    </row>
    <row r="279" ht="14.25" customHeight="1" spans="1:119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  <c r="CM279" s="405"/>
      <c r="CN279" s="406"/>
      <c r="CO279" s="405"/>
      <c r="CP279" s="405"/>
      <c r="CQ279" s="407"/>
      <c r="CR279" s="408"/>
      <c r="CS279" s="405"/>
      <c r="CT279" s="405"/>
      <c r="CU279" s="409"/>
      <c r="CV279" s="408"/>
      <c r="CW279" s="405"/>
      <c r="CX279" s="405"/>
      <c r="CY279" s="405"/>
      <c r="CZ279" s="408"/>
      <c r="DA279" s="405"/>
      <c r="DB279" s="405"/>
      <c r="DC279" s="405"/>
      <c r="DD279" s="408"/>
      <c r="DE279" s="405"/>
      <c r="DF279" s="405"/>
      <c r="DG279" s="405"/>
      <c r="DH279" s="408"/>
      <c r="DI279" s="405"/>
      <c r="DJ279" s="405"/>
      <c r="DK279" s="405"/>
      <c r="DL279" s="408"/>
      <c r="DM279" s="405"/>
      <c r="DN279" s="405"/>
      <c r="DO279" s="405"/>
    </row>
    <row r="280" ht="14.25" customHeight="1" spans="1:119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  <c r="CM280" s="405"/>
      <c r="CN280" s="406"/>
      <c r="CO280" s="405"/>
      <c r="CP280" s="405"/>
      <c r="CQ280" s="407"/>
      <c r="CR280" s="408"/>
      <c r="CS280" s="405"/>
      <c r="CT280" s="405"/>
      <c r="CU280" s="409"/>
      <c r="CV280" s="408"/>
      <c r="CW280" s="405"/>
      <c r="CX280" s="405"/>
      <c r="CY280" s="405"/>
      <c r="CZ280" s="408"/>
      <c r="DA280" s="405"/>
      <c r="DB280" s="405"/>
      <c r="DC280" s="405"/>
      <c r="DD280" s="408"/>
      <c r="DE280" s="405"/>
      <c r="DF280" s="405"/>
      <c r="DG280" s="405"/>
      <c r="DH280" s="408"/>
      <c r="DI280" s="405"/>
      <c r="DJ280" s="405"/>
      <c r="DK280" s="405"/>
      <c r="DL280" s="408"/>
      <c r="DM280" s="405"/>
      <c r="DN280" s="405"/>
      <c r="DO280" s="405"/>
    </row>
    <row r="281" ht="14.25" customHeight="1" spans="1:119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  <c r="CM281" s="405"/>
      <c r="CN281" s="406"/>
      <c r="CO281" s="405"/>
      <c r="CP281" s="405"/>
      <c r="CQ281" s="407"/>
      <c r="CR281" s="408"/>
      <c r="CS281" s="405"/>
      <c r="CT281" s="405"/>
      <c r="CU281" s="409"/>
      <c r="CV281" s="408"/>
      <c r="CW281" s="405"/>
      <c r="CX281" s="405"/>
      <c r="CY281" s="405"/>
      <c r="CZ281" s="408"/>
      <c r="DA281" s="405"/>
      <c r="DB281" s="405"/>
      <c r="DC281" s="405"/>
      <c r="DD281" s="408"/>
      <c r="DE281" s="405"/>
      <c r="DF281" s="405"/>
      <c r="DG281" s="405"/>
      <c r="DH281" s="408"/>
      <c r="DI281" s="405"/>
      <c r="DJ281" s="405"/>
      <c r="DK281" s="405"/>
      <c r="DL281" s="408"/>
      <c r="DM281" s="405"/>
      <c r="DN281" s="405"/>
      <c r="DO281" s="405"/>
    </row>
    <row r="282" ht="14.25" customHeight="1" spans="1:119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  <c r="CM282" s="405"/>
      <c r="CN282" s="406"/>
      <c r="CO282" s="405"/>
      <c r="CP282" s="405"/>
      <c r="CQ282" s="407"/>
      <c r="CR282" s="408"/>
      <c r="CS282" s="405"/>
      <c r="CT282" s="405"/>
      <c r="CU282" s="409"/>
      <c r="CV282" s="408"/>
      <c r="CW282" s="405"/>
      <c r="CX282" s="405"/>
      <c r="CY282" s="405"/>
      <c r="CZ282" s="408"/>
      <c r="DA282" s="405"/>
      <c r="DB282" s="405"/>
      <c r="DC282" s="405"/>
      <c r="DD282" s="408"/>
      <c r="DE282" s="405"/>
      <c r="DF282" s="405"/>
      <c r="DG282" s="405"/>
      <c r="DH282" s="408"/>
      <c r="DI282" s="405"/>
      <c r="DJ282" s="405"/>
      <c r="DK282" s="405"/>
      <c r="DL282" s="408"/>
      <c r="DM282" s="405"/>
      <c r="DN282" s="405"/>
      <c r="DO282" s="405"/>
    </row>
    <row r="283" ht="14.25" customHeight="1" spans="1:119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  <c r="CM283" s="405"/>
      <c r="CN283" s="406"/>
      <c r="CO283" s="405"/>
      <c r="CP283" s="405"/>
      <c r="CQ283" s="407"/>
      <c r="CR283" s="408"/>
      <c r="CS283" s="405"/>
      <c r="CT283" s="405"/>
      <c r="CU283" s="409"/>
      <c r="CV283" s="408"/>
      <c r="CW283" s="405"/>
      <c r="CX283" s="405"/>
      <c r="CY283" s="405"/>
      <c r="CZ283" s="408"/>
      <c r="DA283" s="405"/>
      <c r="DB283" s="405"/>
      <c r="DC283" s="405"/>
      <c r="DD283" s="408"/>
      <c r="DE283" s="405"/>
      <c r="DF283" s="405"/>
      <c r="DG283" s="405"/>
      <c r="DH283" s="408"/>
      <c r="DI283" s="405"/>
      <c r="DJ283" s="405"/>
      <c r="DK283" s="405"/>
      <c r="DL283" s="408"/>
      <c r="DM283" s="405"/>
      <c r="DN283" s="405"/>
      <c r="DO283" s="405"/>
    </row>
    <row r="284" ht="14.25" customHeight="1" spans="1:119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  <c r="CM284" s="405"/>
      <c r="CN284" s="406"/>
      <c r="CO284" s="405"/>
      <c r="CP284" s="405"/>
      <c r="CQ284" s="407"/>
      <c r="CR284" s="408"/>
      <c r="CS284" s="405"/>
      <c r="CT284" s="405"/>
      <c r="CU284" s="409"/>
      <c r="CV284" s="408"/>
      <c r="CW284" s="405"/>
      <c r="CX284" s="405"/>
      <c r="CY284" s="405"/>
      <c r="CZ284" s="408"/>
      <c r="DA284" s="405"/>
      <c r="DB284" s="405"/>
      <c r="DC284" s="405"/>
      <c r="DD284" s="408"/>
      <c r="DE284" s="405"/>
      <c r="DF284" s="405"/>
      <c r="DG284" s="405"/>
      <c r="DH284" s="408"/>
      <c r="DI284" s="405"/>
      <c r="DJ284" s="405"/>
      <c r="DK284" s="405"/>
      <c r="DL284" s="408"/>
      <c r="DM284" s="405"/>
      <c r="DN284" s="405"/>
      <c r="DO284" s="405"/>
    </row>
    <row r="285" ht="14.25" customHeight="1" spans="1:119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  <c r="CM285" s="405"/>
      <c r="CN285" s="406"/>
      <c r="CO285" s="405"/>
      <c r="CP285" s="405"/>
      <c r="CQ285" s="407"/>
      <c r="CR285" s="408"/>
      <c r="CS285" s="405"/>
      <c r="CT285" s="405"/>
      <c r="CU285" s="409"/>
      <c r="CV285" s="408"/>
      <c r="CW285" s="405"/>
      <c r="CX285" s="405"/>
      <c r="CY285" s="405"/>
      <c r="CZ285" s="408"/>
      <c r="DA285" s="405"/>
      <c r="DB285" s="405"/>
      <c r="DC285" s="405"/>
      <c r="DD285" s="408"/>
      <c r="DE285" s="405"/>
      <c r="DF285" s="405"/>
      <c r="DG285" s="405"/>
      <c r="DH285" s="408"/>
      <c r="DI285" s="405"/>
      <c r="DJ285" s="405"/>
      <c r="DK285" s="405"/>
      <c r="DL285" s="408"/>
      <c r="DM285" s="405"/>
      <c r="DN285" s="405"/>
      <c r="DO285" s="405"/>
    </row>
    <row r="286" ht="14.25" customHeight="1" spans="1:119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  <c r="CM286" s="405"/>
      <c r="CN286" s="406"/>
      <c r="CO286" s="405"/>
      <c r="CP286" s="405"/>
      <c r="CQ286" s="407"/>
      <c r="CR286" s="408"/>
      <c r="CS286" s="405"/>
      <c r="CT286" s="405"/>
      <c r="CU286" s="409"/>
      <c r="CV286" s="408"/>
      <c r="CW286" s="405"/>
      <c r="CX286" s="405"/>
      <c r="CY286" s="405"/>
      <c r="CZ286" s="408"/>
      <c r="DA286" s="405"/>
      <c r="DB286" s="405"/>
      <c r="DC286" s="405"/>
      <c r="DD286" s="408"/>
      <c r="DE286" s="405"/>
      <c r="DF286" s="405"/>
      <c r="DG286" s="405"/>
      <c r="DH286" s="408"/>
      <c r="DI286" s="405"/>
      <c r="DJ286" s="405"/>
      <c r="DK286" s="405"/>
      <c r="DL286" s="408"/>
      <c r="DM286" s="405"/>
      <c r="DN286" s="405"/>
      <c r="DO286" s="405"/>
    </row>
    <row r="287" ht="14.25" customHeight="1" spans="1:119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  <c r="CM287" s="405"/>
      <c r="CN287" s="406"/>
      <c r="CO287" s="405"/>
      <c r="CP287" s="405"/>
      <c r="CQ287" s="407"/>
      <c r="CR287" s="408"/>
      <c r="CS287" s="405"/>
      <c r="CT287" s="405"/>
      <c r="CU287" s="409"/>
      <c r="CV287" s="408"/>
      <c r="CW287" s="405"/>
      <c r="CX287" s="405"/>
      <c r="CY287" s="405"/>
      <c r="CZ287" s="408"/>
      <c r="DA287" s="405"/>
      <c r="DB287" s="405"/>
      <c r="DC287" s="405"/>
      <c r="DD287" s="408"/>
      <c r="DE287" s="405"/>
      <c r="DF287" s="405"/>
      <c r="DG287" s="405"/>
      <c r="DH287" s="408"/>
      <c r="DI287" s="405"/>
      <c r="DJ287" s="405"/>
      <c r="DK287" s="405"/>
      <c r="DL287" s="408"/>
      <c r="DM287" s="405"/>
      <c r="DN287" s="405"/>
      <c r="DO287" s="405"/>
    </row>
    <row r="288" ht="14.25" customHeight="1" spans="1:119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  <c r="CM288" s="405"/>
      <c r="CN288" s="406"/>
      <c r="CO288" s="405"/>
      <c r="CP288" s="405"/>
      <c r="CQ288" s="407"/>
      <c r="CR288" s="408"/>
      <c r="CS288" s="405"/>
      <c r="CT288" s="405"/>
      <c r="CU288" s="409"/>
      <c r="CV288" s="408"/>
      <c r="CW288" s="405"/>
      <c r="CX288" s="405"/>
      <c r="CY288" s="405"/>
      <c r="CZ288" s="408"/>
      <c r="DA288" s="405"/>
      <c r="DB288" s="405"/>
      <c r="DC288" s="405"/>
      <c r="DD288" s="408"/>
      <c r="DE288" s="405"/>
      <c r="DF288" s="405"/>
      <c r="DG288" s="405"/>
      <c r="DH288" s="408"/>
      <c r="DI288" s="405"/>
      <c r="DJ288" s="405"/>
      <c r="DK288" s="405"/>
      <c r="DL288" s="408"/>
      <c r="DM288" s="405"/>
      <c r="DN288" s="405"/>
      <c r="DO288" s="405"/>
    </row>
    <row r="289" ht="14.25" customHeight="1" spans="1:119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  <c r="CM289" s="405"/>
      <c r="CN289" s="406"/>
      <c r="CO289" s="405"/>
      <c r="CP289" s="405"/>
      <c r="CQ289" s="407"/>
      <c r="CR289" s="408"/>
      <c r="CS289" s="405"/>
      <c r="CT289" s="405"/>
      <c r="CU289" s="409"/>
      <c r="CV289" s="408"/>
      <c r="CW289" s="405"/>
      <c r="CX289" s="405"/>
      <c r="CY289" s="405"/>
      <c r="CZ289" s="408"/>
      <c r="DA289" s="405"/>
      <c r="DB289" s="405"/>
      <c r="DC289" s="405"/>
      <c r="DD289" s="408"/>
      <c r="DE289" s="405"/>
      <c r="DF289" s="405"/>
      <c r="DG289" s="405"/>
      <c r="DH289" s="408"/>
      <c r="DI289" s="405"/>
      <c r="DJ289" s="405"/>
      <c r="DK289" s="405"/>
      <c r="DL289" s="408"/>
      <c r="DM289" s="405"/>
      <c r="DN289" s="405"/>
      <c r="DO289" s="405"/>
    </row>
    <row r="290" ht="14.25" customHeight="1" spans="1:119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  <c r="CM290" s="405"/>
      <c r="CN290" s="406"/>
      <c r="CO290" s="405"/>
      <c r="CP290" s="405"/>
      <c r="CQ290" s="407"/>
      <c r="CR290" s="408"/>
      <c r="CS290" s="405"/>
      <c r="CT290" s="405"/>
      <c r="CU290" s="409"/>
      <c r="CV290" s="408"/>
      <c r="CW290" s="405"/>
      <c r="CX290" s="405"/>
      <c r="CY290" s="405"/>
      <c r="CZ290" s="408"/>
      <c r="DA290" s="405"/>
      <c r="DB290" s="405"/>
      <c r="DC290" s="405"/>
      <c r="DD290" s="408"/>
      <c r="DE290" s="405"/>
      <c r="DF290" s="405"/>
      <c r="DG290" s="405"/>
      <c r="DH290" s="408"/>
      <c r="DI290" s="405"/>
      <c r="DJ290" s="405"/>
      <c r="DK290" s="405"/>
      <c r="DL290" s="408"/>
      <c r="DM290" s="405"/>
      <c r="DN290" s="405"/>
      <c r="DO290" s="405"/>
    </row>
    <row r="291" ht="14.25" customHeight="1" spans="1:119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  <c r="CM291" s="405"/>
      <c r="CN291" s="406"/>
      <c r="CO291" s="405"/>
      <c r="CP291" s="405"/>
      <c r="CQ291" s="407"/>
      <c r="CR291" s="408"/>
      <c r="CS291" s="405"/>
      <c r="CT291" s="405"/>
      <c r="CU291" s="409"/>
      <c r="CV291" s="408"/>
      <c r="CW291" s="405"/>
      <c r="CX291" s="405"/>
      <c r="CY291" s="405"/>
      <c r="CZ291" s="408"/>
      <c r="DA291" s="405"/>
      <c r="DB291" s="405"/>
      <c r="DC291" s="405"/>
      <c r="DD291" s="408"/>
      <c r="DE291" s="405"/>
      <c r="DF291" s="405"/>
      <c r="DG291" s="405"/>
      <c r="DH291" s="408"/>
      <c r="DI291" s="405"/>
      <c r="DJ291" s="405"/>
      <c r="DK291" s="405"/>
      <c r="DL291" s="408"/>
      <c r="DM291" s="405"/>
      <c r="DN291" s="405"/>
      <c r="DO291" s="405"/>
    </row>
    <row r="292" ht="14.25" customHeight="1" spans="1:119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  <c r="CM292" s="405"/>
      <c r="CN292" s="406"/>
      <c r="CO292" s="405"/>
      <c r="CP292" s="405"/>
      <c r="CQ292" s="407"/>
      <c r="CR292" s="408"/>
      <c r="CS292" s="405"/>
      <c r="CT292" s="405"/>
      <c r="CU292" s="409"/>
      <c r="CV292" s="408"/>
      <c r="CW292" s="405"/>
      <c r="CX292" s="405"/>
      <c r="CY292" s="405"/>
      <c r="CZ292" s="408"/>
      <c r="DA292" s="405"/>
      <c r="DB292" s="405"/>
      <c r="DC292" s="405"/>
      <c r="DD292" s="408"/>
      <c r="DE292" s="405"/>
      <c r="DF292" s="405"/>
      <c r="DG292" s="405"/>
      <c r="DH292" s="408"/>
      <c r="DI292" s="405"/>
      <c r="DJ292" s="405"/>
      <c r="DK292" s="405"/>
      <c r="DL292" s="408"/>
      <c r="DM292" s="405"/>
      <c r="DN292" s="405"/>
      <c r="DO292" s="405"/>
    </row>
    <row r="293" ht="14.25" customHeight="1" spans="1:119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  <c r="CM293" s="405"/>
      <c r="CN293" s="406"/>
      <c r="CO293" s="405"/>
      <c r="CP293" s="405"/>
      <c r="CQ293" s="407"/>
      <c r="CR293" s="408"/>
      <c r="CS293" s="405"/>
      <c r="CT293" s="405"/>
      <c r="CU293" s="409"/>
      <c r="CV293" s="408"/>
      <c r="CW293" s="405"/>
      <c r="CX293" s="405"/>
      <c r="CY293" s="405"/>
      <c r="CZ293" s="408"/>
      <c r="DA293" s="405"/>
      <c r="DB293" s="405"/>
      <c r="DC293" s="405"/>
      <c r="DD293" s="408"/>
      <c r="DE293" s="405"/>
      <c r="DF293" s="405"/>
      <c r="DG293" s="405"/>
      <c r="DH293" s="408"/>
      <c r="DI293" s="405"/>
      <c r="DJ293" s="405"/>
      <c r="DK293" s="405"/>
      <c r="DL293" s="408"/>
      <c r="DM293" s="405"/>
      <c r="DN293" s="405"/>
      <c r="DO293" s="405"/>
    </row>
    <row r="294" ht="14.25" customHeight="1" spans="1:119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  <c r="CM294" s="405"/>
      <c r="CN294" s="406"/>
      <c r="CO294" s="405"/>
      <c r="CP294" s="405"/>
      <c r="CQ294" s="407"/>
      <c r="CR294" s="408"/>
      <c r="CS294" s="405"/>
      <c r="CT294" s="405"/>
      <c r="CU294" s="409"/>
      <c r="CV294" s="408"/>
      <c r="CW294" s="405"/>
      <c r="CX294" s="405"/>
      <c r="CY294" s="405"/>
      <c r="CZ294" s="408"/>
      <c r="DA294" s="405"/>
      <c r="DB294" s="405"/>
      <c r="DC294" s="405"/>
      <c r="DD294" s="408"/>
      <c r="DE294" s="405"/>
      <c r="DF294" s="405"/>
      <c r="DG294" s="405"/>
      <c r="DH294" s="408"/>
      <c r="DI294" s="405"/>
      <c r="DJ294" s="405"/>
      <c r="DK294" s="405"/>
      <c r="DL294" s="408"/>
      <c r="DM294" s="405"/>
      <c r="DN294" s="405"/>
      <c r="DO294" s="405"/>
    </row>
    <row r="295" ht="14.25" customHeight="1" spans="1:119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  <c r="CM295" s="405"/>
      <c r="CN295" s="406"/>
      <c r="CO295" s="405"/>
      <c r="CP295" s="405"/>
      <c r="CQ295" s="407"/>
      <c r="CR295" s="408"/>
      <c r="CS295" s="405"/>
      <c r="CT295" s="405"/>
      <c r="CU295" s="409"/>
      <c r="CV295" s="408"/>
      <c r="CW295" s="405"/>
      <c r="CX295" s="405"/>
      <c r="CY295" s="405"/>
      <c r="CZ295" s="408"/>
      <c r="DA295" s="405"/>
      <c r="DB295" s="405"/>
      <c r="DC295" s="405"/>
      <c r="DD295" s="408"/>
      <c r="DE295" s="405"/>
      <c r="DF295" s="405"/>
      <c r="DG295" s="405"/>
      <c r="DH295" s="408"/>
      <c r="DI295" s="405"/>
      <c r="DJ295" s="405"/>
      <c r="DK295" s="405"/>
      <c r="DL295" s="408"/>
      <c r="DM295" s="405"/>
      <c r="DN295" s="405"/>
      <c r="DO295" s="405"/>
    </row>
    <row r="296" ht="14.25" customHeight="1" spans="1:119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  <c r="CM296" s="405"/>
      <c r="CN296" s="406"/>
      <c r="CO296" s="405"/>
      <c r="CP296" s="405"/>
      <c r="CQ296" s="407"/>
      <c r="CR296" s="408"/>
      <c r="CS296" s="405"/>
      <c r="CT296" s="405"/>
      <c r="CU296" s="409"/>
      <c r="CV296" s="408"/>
      <c r="CW296" s="405"/>
      <c r="CX296" s="405"/>
      <c r="CY296" s="405"/>
      <c r="CZ296" s="408"/>
      <c r="DA296" s="405"/>
      <c r="DB296" s="405"/>
      <c r="DC296" s="405"/>
      <c r="DD296" s="408"/>
      <c r="DE296" s="405"/>
      <c r="DF296" s="405"/>
      <c r="DG296" s="405"/>
      <c r="DH296" s="408"/>
      <c r="DI296" s="405"/>
      <c r="DJ296" s="405"/>
      <c r="DK296" s="405"/>
      <c r="DL296" s="408"/>
      <c r="DM296" s="405"/>
      <c r="DN296" s="405"/>
      <c r="DO296" s="405"/>
    </row>
    <row r="297" ht="14.25" customHeight="1" spans="1:119" x14ac:dyDescent="0.25">
      <c r="A297" s="399"/>
      <c r="B297" s="399"/>
      <c r="C297" s="399"/>
      <c r="D297" s="399"/>
      <c r="E297" s="399"/>
      <c r="F297" s="400"/>
      <c r="G297" s="401"/>
      <c r="H297" s="402"/>
      <c r="I297" s="402"/>
      <c r="J297" s="403"/>
      <c r="K297" s="403"/>
      <c r="L297" s="403"/>
      <c r="M297" s="403"/>
      <c r="N297" s="403"/>
      <c r="O297" s="403"/>
      <c r="P297" s="403"/>
      <c r="Q297" s="403"/>
      <c r="R297" s="403"/>
      <c r="CD297" s="404"/>
      <c r="CG297" s="404"/>
      <c r="CI297" s="405"/>
      <c r="CJ297" s="405"/>
      <c r="CK297" s="405"/>
      <c r="CL297" s="405"/>
      <c r="CM297" s="405"/>
      <c r="CN297" s="406"/>
      <c r="CO297" s="405"/>
      <c r="CP297" s="405"/>
      <c r="CQ297" s="407"/>
      <c r="CR297" s="408"/>
      <c r="CS297" s="405"/>
      <c r="CT297" s="405"/>
      <c r="CU297" s="409"/>
      <c r="CV297" s="408"/>
      <c r="CW297" s="405"/>
      <c r="CX297" s="405"/>
      <c r="CY297" s="405"/>
      <c r="CZ297" s="408"/>
      <c r="DA297" s="405"/>
      <c r="DB297" s="405"/>
      <c r="DC297" s="405"/>
      <c r="DD297" s="408"/>
      <c r="DE297" s="405"/>
      <c r="DF297" s="405"/>
      <c r="DG297" s="405"/>
      <c r="DH297" s="408"/>
      <c r="DI297" s="405"/>
      <c r="DJ297" s="405"/>
      <c r="DK297" s="405"/>
      <c r="DL297" s="408"/>
      <c r="DM297" s="405"/>
      <c r="DN297" s="405"/>
      <c r="DO297" s="405"/>
    </row>
    <row r="298" ht="14.25" customHeight="1" spans="1:119" x14ac:dyDescent="0.25">
      <c r="A298" s="399"/>
      <c r="B298" s="399"/>
      <c r="C298" s="399"/>
      <c r="D298" s="399"/>
      <c r="E298" s="399"/>
      <c r="F298" s="400"/>
      <c r="G298" s="401"/>
      <c r="H298" s="402"/>
      <c r="I298" s="402"/>
      <c r="J298" s="403"/>
      <c r="K298" s="403"/>
      <c r="L298" s="403"/>
      <c r="M298" s="403"/>
      <c r="N298" s="403"/>
      <c r="O298" s="403"/>
      <c r="P298" s="403"/>
      <c r="Q298" s="403"/>
      <c r="R298" s="403"/>
      <c r="CD298" s="404"/>
      <c r="CG298" s="404"/>
      <c r="CI298" s="405"/>
      <c r="CJ298" s="405"/>
      <c r="CK298" s="405"/>
      <c r="CL298" s="405"/>
      <c r="CM298" s="405"/>
      <c r="CN298" s="406"/>
      <c r="CO298" s="405"/>
      <c r="CP298" s="405"/>
      <c r="CQ298" s="407"/>
      <c r="CR298" s="408"/>
      <c r="CS298" s="405"/>
      <c r="CT298" s="405"/>
      <c r="CU298" s="409"/>
      <c r="CV298" s="408"/>
      <c r="CW298" s="405"/>
      <c r="CX298" s="405"/>
      <c r="CY298" s="405"/>
      <c r="CZ298" s="408"/>
      <c r="DA298" s="405"/>
      <c r="DB298" s="405"/>
      <c r="DC298" s="405"/>
      <c r="DD298" s="408"/>
      <c r="DE298" s="405"/>
      <c r="DF298" s="405"/>
      <c r="DG298" s="405"/>
      <c r="DH298" s="408"/>
      <c r="DI298" s="405"/>
      <c r="DJ298" s="405"/>
      <c r="DK298" s="405"/>
      <c r="DL298" s="408"/>
      <c r="DM298" s="405"/>
      <c r="DN298" s="405"/>
      <c r="DO298" s="405"/>
    </row>
    <row r="299" ht="14.25" customHeight="1" spans="1:119" x14ac:dyDescent="0.25">
      <c r="A299" s="399"/>
      <c r="B299" s="399"/>
      <c r="C299" s="399"/>
      <c r="D299" s="399"/>
      <c r="E299" s="399"/>
      <c r="F299" s="400"/>
      <c r="G299" s="401"/>
      <c r="H299" s="402"/>
      <c r="I299" s="402"/>
      <c r="J299" s="403"/>
      <c r="K299" s="403"/>
      <c r="L299" s="403"/>
      <c r="M299" s="403"/>
      <c r="N299" s="403"/>
      <c r="O299" s="403"/>
      <c r="P299" s="403"/>
      <c r="Q299" s="403"/>
      <c r="R299" s="403"/>
      <c r="CD299" s="404"/>
      <c r="CG299" s="404"/>
      <c r="CI299" s="405"/>
      <c r="CJ299" s="405"/>
      <c r="CK299" s="405"/>
      <c r="CL299" s="405"/>
      <c r="CM299" s="405"/>
      <c r="CN299" s="406"/>
      <c r="CO299" s="405"/>
      <c r="CP299" s="405"/>
      <c r="CQ299" s="407"/>
      <c r="CR299" s="408"/>
      <c r="CS299" s="405"/>
      <c r="CT299" s="405"/>
      <c r="CU299" s="409"/>
      <c r="CV299" s="408"/>
      <c r="CW299" s="405"/>
      <c r="CX299" s="405"/>
      <c r="CY299" s="405"/>
      <c r="CZ299" s="408"/>
      <c r="DA299" s="405"/>
      <c r="DB299" s="405"/>
      <c r="DC299" s="405"/>
      <c r="DD299" s="408"/>
      <c r="DE299" s="405"/>
      <c r="DF299" s="405"/>
      <c r="DG299" s="405"/>
      <c r="DH299" s="408"/>
      <c r="DI299" s="405"/>
      <c r="DJ299" s="405"/>
      <c r="DK299" s="405"/>
      <c r="DL299" s="408"/>
      <c r="DM299" s="405"/>
      <c r="DN299" s="405"/>
      <c r="DO299" s="405"/>
    </row>
    <row r="300" ht="14.25" customHeight="1" spans="1:119" x14ac:dyDescent="0.25">
      <c r="A300" s="399"/>
      <c r="B300" s="399"/>
      <c r="C300" s="399"/>
      <c r="D300" s="399"/>
      <c r="E300" s="399"/>
      <c r="F300" s="400"/>
      <c r="G300" s="401"/>
      <c r="H300" s="402"/>
      <c r="I300" s="402"/>
      <c r="J300" s="403"/>
      <c r="K300" s="403"/>
      <c r="L300" s="403"/>
      <c r="M300" s="403"/>
      <c r="N300" s="403"/>
      <c r="O300" s="403"/>
      <c r="P300" s="403"/>
      <c r="Q300" s="403"/>
      <c r="R300" s="403"/>
      <c r="CD300" s="404"/>
      <c r="CG300" s="404"/>
      <c r="CI300" s="405"/>
      <c r="CJ300" s="405"/>
      <c r="CK300" s="405"/>
      <c r="CL300" s="405"/>
      <c r="CM300" s="405"/>
      <c r="CN300" s="406"/>
      <c r="CO300" s="405"/>
      <c r="CP300" s="405"/>
      <c r="CQ300" s="407"/>
      <c r="CR300" s="408"/>
      <c r="CS300" s="405"/>
      <c r="CT300" s="405"/>
      <c r="CU300" s="409"/>
      <c r="CV300" s="408"/>
      <c r="CW300" s="405"/>
      <c r="CX300" s="405"/>
      <c r="CY300" s="405"/>
      <c r="CZ300" s="408"/>
      <c r="DA300" s="405"/>
      <c r="DB300" s="405"/>
      <c r="DC300" s="405"/>
      <c r="DD300" s="408"/>
      <c r="DE300" s="405"/>
      <c r="DF300" s="405"/>
      <c r="DG300" s="405"/>
      <c r="DH300" s="408"/>
      <c r="DI300" s="405"/>
      <c r="DJ300" s="405"/>
      <c r="DK300" s="405"/>
      <c r="DL300" s="408"/>
      <c r="DM300" s="405"/>
      <c r="DN300" s="405"/>
      <c r="DO300" s="405"/>
    </row>
    <row r="301" ht="14.25" customHeight="1" spans="1:119" x14ac:dyDescent="0.25">
      <c r="A301" s="399"/>
      <c r="B301" s="399"/>
      <c r="C301" s="399"/>
      <c r="D301" s="399"/>
      <c r="E301" s="399"/>
      <c r="F301" s="400"/>
      <c r="G301" s="401"/>
      <c r="H301" s="402"/>
      <c r="I301" s="402"/>
      <c r="J301" s="403"/>
      <c r="K301" s="403"/>
      <c r="L301" s="403"/>
      <c r="M301" s="403"/>
      <c r="N301" s="403"/>
      <c r="O301" s="403"/>
      <c r="P301" s="403"/>
      <c r="Q301" s="403"/>
      <c r="R301" s="403"/>
      <c r="CD301" s="404"/>
      <c r="CG301" s="404"/>
      <c r="CI301" s="405"/>
      <c r="CJ301" s="405"/>
      <c r="CK301" s="405"/>
      <c r="CL301" s="405"/>
      <c r="CM301" s="405"/>
      <c r="CN301" s="406"/>
      <c r="CO301" s="405"/>
      <c r="CP301" s="405"/>
      <c r="CQ301" s="407"/>
      <c r="CR301" s="408"/>
      <c r="CS301" s="405"/>
      <c r="CT301" s="405"/>
      <c r="CU301" s="409"/>
      <c r="CV301" s="408"/>
      <c r="CW301" s="405"/>
      <c r="CX301" s="405"/>
      <c r="CY301" s="405"/>
      <c r="CZ301" s="408"/>
      <c r="DA301" s="405"/>
      <c r="DB301" s="405"/>
      <c r="DC301" s="405"/>
      <c r="DD301" s="408"/>
      <c r="DE301" s="405"/>
      <c r="DF301" s="405"/>
      <c r="DG301" s="405"/>
      <c r="DH301" s="408"/>
      <c r="DI301" s="405"/>
      <c r="DJ301" s="405"/>
      <c r="DK301" s="405"/>
      <c r="DL301" s="408"/>
      <c r="DM301" s="405"/>
      <c r="DN301" s="405"/>
      <c r="DO301" s="405"/>
    </row>
    <row r="302" ht="14.25" customHeight="1" spans="1:119" x14ac:dyDescent="0.25">
      <c r="A302" s="399"/>
      <c r="B302" s="399"/>
      <c r="C302" s="399"/>
      <c r="D302" s="399"/>
      <c r="E302" s="399"/>
      <c r="F302" s="400"/>
      <c r="G302" s="401"/>
      <c r="H302" s="402"/>
      <c r="I302" s="402"/>
      <c r="J302" s="403"/>
      <c r="K302" s="403"/>
      <c r="L302" s="403"/>
      <c r="M302" s="403"/>
      <c r="N302" s="403"/>
      <c r="O302" s="403"/>
      <c r="P302" s="403"/>
      <c r="Q302" s="403"/>
      <c r="R302" s="403"/>
      <c r="CD302" s="404"/>
      <c r="CG302" s="404"/>
      <c r="CI302" s="405"/>
      <c r="CJ302" s="405"/>
      <c r="CK302" s="405"/>
      <c r="CL302" s="405"/>
      <c r="CM302" s="405"/>
      <c r="CN302" s="406"/>
      <c r="CO302" s="405"/>
      <c r="CP302" s="405"/>
      <c r="CQ302" s="407"/>
      <c r="CR302" s="408"/>
      <c r="CS302" s="405"/>
      <c r="CT302" s="405"/>
      <c r="CU302" s="409"/>
      <c r="CV302" s="408"/>
      <c r="CW302" s="405"/>
      <c r="CX302" s="405"/>
      <c r="CY302" s="405"/>
      <c r="CZ302" s="408"/>
      <c r="DA302" s="405"/>
      <c r="DB302" s="405"/>
      <c r="DC302" s="405"/>
      <c r="DD302" s="408"/>
      <c r="DE302" s="405"/>
      <c r="DF302" s="405"/>
      <c r="DG302" s="405"/>
      <c r="DH302" s="408"/>
      <c r="DI302" s="405"/>
      <c r="DJ302" s="405"/>
      <c r="DK302" s="405"/>
      <c r="DL302" s="408"/>
      <c r="DM302" s="405"/>
      <c r="DN302" s="405"/>
      <c r="DO302" s="405"/>
    </row>
    <row r="303" ht="14.25" customHeight="1" spans="1:119" x14ac:dyDescent="0.25">
      <c r="A303" s="399"/>
      <c r="B303" s="399"/>
      <c r="C303" s="399"/>
      <c r="D303" s="399"/>
      <c r="E303" s="399"/>
      <c r="F303" s="400"/>
      <c r="G303" s="401"/>
      <c r="H303" s="402"/>
      <c r="I303" s="402"/>
      <c r="J303" s="403"/>
      <c r="K303" s="403"/>
      <c r="L303" s="403"/>
      <c r="M303" s="403"/>
      <c r="N303" s="403"/>
      <c r="O303" s="403"/>
      <c r="P303" s="403"/>
      <c r="Q303" s="403"/>
      <c r="R303" s="403"/>
      <c r="CD303" s="404"/>
      <c r="CG303" s="404"/>
      <c r="CI303" s="405"/>
      <c r="CJ303" s="405"/>
      <c r="CK303" s="405"/>
      <c r="CL303" s="405"/>
      <c r="CM303" s="405"/>
      <c r="CN303" s="406"/>
      <c r="CO303" s="405"/>
      <c r="CP303" s="405"/>
      <c r="CQ303" s="407"/>
      <c r="CR303" s="408"/>
      <c r="CS303" s="405"/>
      <c r="CT303" s="405"/>
      <c r="CU303" s="409"/>
      <c r="CV303" s="408"/>
      <c r="CW303" s="405"/>
      <c r="CX303" s="405"/>
      <c r="CY303" s="405"/>
      <c r="CZ303" s="408"/>
      <c r="DA303" s="405"/>
      <c r="DB303" s="405"/>
      <c r="DC303" s="405"/>
      <c r="DD303" s="408"/>
      <c r="DE303" s="405"/>
      <c r="DF303" s="405"/>
      <c r="DG303" s="405"/>
      <c r="DH303" s="408"/>
      <c r="DI303" s="405"/>
      <c r="DJ303" s="405"/>
      <c r="DK303" s="405"/>
      <c r="DL303" s="408"/>
      <c r="DM303" s="405"/>
      <c r="DN303" s="405"/>
      <c r="DO303" s="405"/>
    </row>
    <row r="304" ht="14.25" customHeight="1" spans="1:119" x14ac:dyDescent="0.25">
      <c r="A304" s="399"/>
      <c r="B304" s="399"/>
      <c r="C304" s="399"/>
      <c r="D304" s="399"/>
      <c r="E304" s="399"/>
      <c r="F304" s="400"/>
      <c r="G304" s="401"/>
      <c r="H304" s="402"/>
      <c r="I304" s="402"/>
      <c r="J304" s="403"/>
      <c r="K304" s="403"/>
      <c r="L304" s="403"/>
      <c r="M304" s="403"/>
      <c r="N304" s="403"/>
      <c r="O304" s="403"/>
      <c r="P304" s="403"/>
      <c r="Q304" s="403"/>
      <c r="R304" s="403"/>
      <c r="CD304" s="404"/>
      <c r="CG304" s="404"/>
      <c r="CI304" s="405"/>
      <c r="CJ304" s="405"/>
      <c r="CK304" s="405"/>
      <c r="CL304" s="405"/>
      <c r="CM304" s="405"/>
      <c r="CN304" s="406"/>
      <c r="CO304" s="405"/>
      <c r="CP304" s="405"/>
      <c r="CQ304" s="407"/>
      <c r="CR304" s="408"/>
      <c r="CS304" s="405"/>
      <c r="CT304" s="405"/>
      <c r="CU304" s="409"/>
      <c r="CV304" s="408"/>
      <c r="CW304" s="405"/>
      <c r="CX304" s="405"/>
      <c r="CY304" s="405"/>
      <c r="CZ304" s="408"/>
      <c r="DA304" s="405"/>
      <c r="DB304" s="405"/>
      <c r="DC304" s="405"/>
      <c r="DD304" s="408"/>
      <c r="DE304" s="405"/>
      <c r="DF304" s="405"/>
      <c r="DG304" s="405"/>
      <c r="DH304" s="408"/>
      <c r="DI304" s="405"/>
      <c r="DJ304" s="405"/>
      <c r="DK304" s="405"/>
      <c r="DL304" s="408"/>
      <c r="DM304" s="405"/>
      <c r="DN304" s="405"/>
      <c r="DO304" s="405"/>
    </row>
    <row r="305" ht="14.25" customHeight="1" spans="1:119" x14ac:dyDescent="0.25">
      <c r="A305" s="399"/>
      <c r="B305" s="399"/>
      <c r="C305" s="399"/>
      <c r="D305" s="399"/>
      <c r="E305" s="399"/>
      <c r="F305" s="400"/>
      <c r="G305" s="401"/>
      <c r="H305" s="402"/>
      <c r="I305" s="402"/>
      <c r="J305" s="403"/>
      <c r="K305" s="403"/>
      <c r="L305" s="403"/>
      <c r="M305" s="403"/>
      <c r="N305" s="403"/>
      <c r="O305" s="403"/>
      <c r="P305" s="403"/>
      <c r="Q305" s="403"/>
      <c r="R305" s="403"/>
      <c r="CD305" s="404"/>
      <c r="CG305" s="404"/>
      <c r="CI305" s="405"/>
      <c r="CJ305" s="405"/>
      <c r="CK305" s="405"/>
      <c r="CL305" s="405"/>
      <c r="CM305" s="405"/>
      <c r="CN305" s="406"/>
      <c r="CO305" s="405"/>
      <c r="CP305" s="405"/>
      <c r="CQ305" s="407"/>
      <c r="CR305" s="408"/>
      <c r="CS305" s="405"/>
      <c r="CT305" s="405"/>
      <c r="CU305" s="409"/>
      <c r="CV305" s="408"/>
      <c r="CW305" s="405"/>
      <c r="CX305" s="405"/>
      <c r="CY305" s="405"/>
      <c r="CZ305" s="408"/>
      <c r="DA305" s="405"/>
      <c r="DB305" s="405"/>
      <c r="DC305" s="405"/>
      <c r="DD305" s="408"/>
      <c r="DE305" s="405"/>
      <c r="DF305" s="405"/>
      <c r="DG305" s="405"/>
      <c r="DH305" s="408"/>
      <c r="DI305" s="405"/>
      <c r="DJ305" s="405"/>
      <c r="DK305" s="405"/>
      <c r="DL305" s="408"/>
      <c r="DM305" s="405"/>
      <c r="DN305" s="405"/>
      <c r="DO305" s="405"/>
    </row>
    <row r="306" ht="14.25" customHeight="1" spans="1:119" x14ac:dyDescent="0.25">
      <c r="A306" s="399"/>
      <c r="B306" s="399"/>
      <c r="C306" s="399"/>
      <c r="D306" s="399"/>
      <c r="E306" s="399"/>
      <c r="F306" s="400"/>
      <c r="G306" s="401"/>
      <c r="H306" s="402"/>
      <c r="I306" s="402"/>
      <c r="J306" s="403"/>
      <c r="K306" s="403"/>
      <c r="L306" s="403"/>
      <c r="M306" s="403"/>
      <c r="N306" s="403"/>
      <c r="O306" s="403"/>
      <c r="P306" s="403"/>
      <c r="Q306" s="403"/>
      <c r="R306" s="403"/>
      <c r="CD306" s="404"/>
      <c r="CG306" s="404"/>
      <c r="CI306" s="405"/>
      <c r="CJ306" s="405"/>
      <c r="CK306" s="405"/>
      <c r="CL306" s="405"/>
      <c r="CM306" s="405"/>
      <c r="CN306" s="406"/>
      <c r="CO306" s="405"/>
      <c r="CP306" s="405"/>
      <c r="CQ306" s="407"/>
      <c r="CR306" s="408"/>
      <c r="CS306" s="405"/>
      <c r="CT306" s="405"/>
      <c r="CU306" s="409"/>
      <c r="CV306" s="408"/>
      <c r="CW306" s="405"/>
      <c r="CX306" s="405"/>
      <c r="CY306" s="405"/>
      <c r="CZ306" s="408"/>
      <c r="DA306" s="405"/>
      <c r="DB306" s="405"/>
      <c r="DC306" s="405"/>
      <c r="DD306" s="408"/>
      <c r="DE306" s="405"/>
      <c r="DF306" s="405"/>
      <c r="DG306" s="405"/>
      <c r="DH306" s="408"/>
      <c r="DI306" s="405"/>
      <c r="DJ306" s="405"/>
      <c r="DK306" s="405"/>
      <c r="DL306" s="408"/>
      <c r="DM306" s="405"/>
      <c r="DN306" s="405"/>
      <c r="DO306" s="405"/>
    </row>
    <row r="307" ht="14.25" customHeight="1" spans="1:119" x14ac:dyDescent="0.25">
      <c r="A307" s="399"/>
      <c r="B307" s="399"/>
      <c r="C307" s="399"/>
      <c r="D307" s="399"/>
      <c r="E307" s="399"/>
      <c r="F307" s="400"/>
      <c r="G307" s="401"/>
      <c r="H307" s="402"/>
      <c r="I307" s="402"/>
      <c r="J307" s="403"/>
      <c r="K307" s="403"/>
      <c r="L307" s="403"/>
      <c r="M307" s="403"/>
      <c r="N307" s="403"/>
      <c r="O307" s="403"/>
      <c r="P307" s="403"/>
      <c r="Q307" s="403"/>
      <c r="R307" s="403"/>
      <c r="CD307" s="404"/>
      <c r="CG307" s="404"/>
      <c r="CI307" s="405"/>
      <c r="CJ307" s="405"/>
      <c r="CK307" s="405"/>
      <c r="CL307" s="405"/>
      <c r="CM307" s="405"/>
      <c r="CN307" s="406"/>
      <c r="CO307" s="405"/>
      <c r="CP307" s="405"/>
      <c r="CQ307" s="407"/>
      <c r="CR307" s="408"/>
      <c r="CS307" s="405"/>
      <c r="CT307" s="405"/>
      <c r="CU307" s="409"/>
      <c r="CV307" s="408"/>
      <c r="CW307" s="405"/>
      <c r="CX307" s="405"/>
      <c r="CY307" s="405"/>
      <c r="CZ307" s="408"/>
      <c r="DA307" s="405"/>
      <c r="DB307" s="405"/>
      <c r="DC307" s="405"/>
      <c r="DD307" s="408"/>
      <c r="DE307" s="405"/>
      <c r="DF307" s="405"/>
      <c r="DG307" s="405"/>
      <c r="DH307" s="408"/>
      <c r="DI307" s="405"/>
      <c r="DJ307" s="405"/>
      <c r="DK307" s="405"/>
      <c r="DL307" s="408"/>
      <c r="DM307" s="405"/>
      <c r="DN307" s="405"/>
      <c r="DO307" s="405"/>
    </row>
    <row r="308" ht="14.25" customHeight="1" spans="1:119" x14ac:dyDescent="0.25">
      <c r="A308" s="399"/>
      <c r="B308" s="399"/>
      <c r="C308" s="399"/>
      <c r="D308" s="399"/>
      <c r="E308" s="399"/>
      <c r="F308" s="400"/>
      <c r="G308" s="401"/>
      <c r="H308" s="402"/>
      <c r="I308" s="402"/>
      <c r="J308" s="403"/>
      <c r="K308" s="403"/>
      <c r="L308" s="403"/>
      <c r="M308" s="403"/>
      <c r="N308" s="403"/>
      <c r="O308" s="403"/>
      <c r="P308" s="403"/>
      <c r="Q308" s="403"/>
      <c r="R308" s="403"/>
      <c r="CD308" s="404"/>
      <c r="CG308" s="404"/>
      <c r="CI308" s="405"/>
      <c r="CJ308" s="405"/>
      <c r="CK308" s="405"/>
      <c r="CL308" s="405"/>
      <c r="CM308" s="405"/>
      <c r="CN308" s="406"/>
      <c r="CO308" s="405"/>
      <c r="CP308" s="405"/>
      <c r="CQ308" s="407"/>
      <c r="CR308" s="408"/>
      <c r="CS308" s="405"/>
      <c r="CT308" s="405"/>
      <c r="CU308" s="409"/>
      <c r="CV308" s="408"/>
      <c r="CW308" s="405"/>
      <c r="CX308" s="405"/>
      <c r="CY308" s="405"/>
      <c r="CZ308" s="408"/>
      <c r="DA308" s="405"/>
      <c r="DB308" s="405"/>
      <c r="DC308" s="405"/>
      <c r="DD308" s="408"/>
      <c r="DE308" s="405"/>
      <c r="DF308" s="405"/>
      <c r="DG308" s="405"/>
      <c r="DH308" s="408"/>
      <c r="DI308" s="405"/>
      <c r="DJ308" s="405"/>
      <c r="DK308" s="405"/>
      <c r="DL308" s="408"/>
      <c r="DM308" s="405"/>
      <c r="DN308" s="405"/>
      <c r="DO308" s="405"/>
    </row>
    <row r="309" ht="14.25" customHeight="1" spans="1:119" x14ac:dyDescent="0.25">
      <c r="A309" s="399"/>
      <c r="B309" s="399"/>
      <c r="C309" s="399"/>
      <c r="D309" s="399"/>
      <c r="E309" s="399"/>
      <c r="F309" s="400"/>
      <c r="G309" s="401"/>
      <c r="H309" s="402"/>
      <c r="I309" s="402"/>
      <c r="J309" s="403"/>
      <c r="K309" s="403"/>
      <c r="L309" s="403"/>
      <c r="M309" s="403"/>
      <c r="N309" s="403"/>
      <c r="O309" s="403"/>
      <c r="P309" s="403"/>
      <c r="Q309" s="403"/>
      <c r="R309" s="403"/>
      <c r="CD309" s="404"/>
      <c r="CG309" s="404"/>
      <c r="CI309" s="405"/>
      <c r="CJ309" s="405"/>
      <c r="CK309" s="405"/>
      <c r="CL309" s="405"/>
      <c r="CM309" s="405"/>
      <c r="CN309" s="406"/>
      <c r="CO309" s="405"/>
      <c r="CP309" s="405"/>
      <c r="CQ309" s="407"/>
      <c r="CR309" s="408"/>
      <c r="CS309" s="405"/>
      <c r="CT309" s="405"/>
      <c r="CU309" s="409"/>
      <c r="CV309" s="408"/>
      <c r="CW309" s="405"/>
      <c r="CX309" s="405"/>
      <c r="CY309" s="405"/>
      <c r="CZ309" s="408"/>
      <c r="DA309" s="405"/>
      <c r="DB309" s="405"/>
      <c r="DC309" s="405"/>
      <c r="DD309" s="408"/>
      <c r="DE309" s="405"/>
      <c r="DF309" s="405"/>
      <c r="DG309" s="405"/>
      <c r="DH309" s="408"/>
      <c r="DI309" s="405"/>
      <c r="DJ309" s="405"/>
      <c r="DK309" s="405"/>
      <c r="DL309" s="408"/>
      <c r="DM309" s="405"/>
      <c r="DN309" s="405"/>
      <c r="DO309" s="405"/>
    </row>
    <row r="310" ht="14.25" customHeight="1" spans="1:119" x14ac:dyDescent="0.25">
      <c r="A310" s="399"/>
      <c r="B310" s="399"/>
      <c r="C310" s="399"/>
      <c r="D310" s="399"/>
      <c r="E310" s="399"/>
      <c r="F310" s="400"/>
      <c r="G310" s="401"/>
      <c r="H310" s="402"/>
      <c r="I310" s="402"/>
      <c r="J310" s="403"/>
      <c r="K310" s="403"/>
      <c r="L310" s="403"/>
      <c r="M310" s="403"/>
      <c r="N310" s="403"/>
      <c r="O310" s="403"/>
      <c r="P310" s="403"/>
      <c r="Q310" s="403"/>
      <c r="R310" s="403"/>
      <c r="CD310" s="404"/>
      <c r="CG310" s="404"/>
      <c r="CI310" s="405"/>
      <c r="CJ310" s="405"/>
      <c r="CK310" s="405"/>
      <c r="CL310" s="405"/>
      <c r="CM310" s="405"/>
      <c r="CN310" s="406"/>
      <c r="CO310" s="405"/>
      <c r="CP310" s="405"/>
      <c r="CQ310" s="407"/>
      <c r="CR310" s="408"/>
      <c r="CS310" s="405"/>
      <c r="CT310" s="405"/>
      <c r="CU310" s="409"/>
      <c r="CV310" s="408"/>
      <c r="CW310" s="405"/>
      <c r="CX310" s="405"/>
      <c r="CY310" s="405"/>
      <c r="CZ310" s="408"/>
      <c r="DA310" s="405"/>
      <c r="DB310" s="405"/>
      <c r="DC310" s="405"/>
      <c r="DD310" s="408"/>
      <c r="DE310" s="405"/>
      <c r="DF310" s="405"/>
      <c r="DG310" s="405"/>
      <c r="DH310" s="408"/>
      <c r="DI310" s="405"/>
      <c r="DJ310" s="405"/>
      <c r="DK310" s="405"/>
      <c r="DL310" s="408"/>
      <c r="DM310" s="405"/>
      <c r="DN310" s="405"/>
      <c r="DO310" s="405"/>
    </row>
    <row r="311" ht="14.25" customHeight="1" spans="1:119" x14ac:dyDescent="0.25">
      <c r="A311" s="399"/>
      <c r="B311" s="399"/>
      <c r="C311" s="399"/>
      <c r="D311" s="399"/>
      <c r="E311" s="399"/>
      <c r="F311" s="400"/>
      <c r="G311" s="401"/>
      <c r="H311" s="402"/>
      <c r="I311" s="402"/>
      <c r="J311" s="403"/>
      <c r="K311" s="403"/>
      <c r="L311" s="403"/>
      <c r="M311" s="403"/>
      <c r="N311" s="403"/>
      <c r="O311" s="403"/>
      <c r="P311" s="403"/>
      <c r="Q311" s="403"/>
      <c r="R311" s="403"/>
      <c r="CD311" s="404"/>
      <c r="CG311" s="404"/>
      <c r="CI311" s="405"/>
      <c r="CJ311" s="405"/>
      <c r="CK311" s="405"/>
      <c r="CL311" s="405"/>
      <c r="CM311" s="405"/>
      <c r="CN311" s="406"/>
      <c r="CO311" s="405"/>
      <c r="CP311" s="405"/>
      <c r="CQ311" s="407"/>
      <c r="CR311" s="408"/>
      <c r="CS311" s="405"/>
      <c r="CT311" s="405"/>
      <c r="CU311" s="409"/>
      <c r="CV311" s="408"/>
      <c r="CW311" s="405"/>
      <c r="CX311" s="405"/>
      <c r="CY311" s="405"/>
      <c r="CZ311" s="408"/>
      <c r="DA311" s="405"/>
      <c r="DB311" s="405"/>
      <c r="DC311" s="405"/>
      <c r="DD311" s="408"/>
      <c r="DE311" s="405"/>
      <c r="DF311" s="405"/>
      <c r="DG311" s="405"/>
      <c r="DH311" s="408"/>
      <c r="DI311" s="405"/>
      <c r="DJ311" s="405"/>
      <c r="DK311" s="405"/>
      <c r="DL311" s="408"/>
      <c r="DM311" s="405"/>
      <c r="DN311" s="405"/>
      <c r="DO311" s="405"/>
    </row>
    <row r="312" ht="14.25" customHeight="1" spans="1:119" x14ac:dyDescent="0.25">
      <c r="A312" s="399"/>
      <c r="B312" s="399"/>
      <c r="C312" s="399"/>
      <c r="D312" s="399"/>
      <c r="E312" s="399"/>
      <c r="F312" s="400"/>
      <c r="G312" s="401"/>
      <c r="H312" s="402"/>
      <c r="I312" s="402"/>
      <c r="J312" s="403"/>
      <c r="K312" s="403"/>
      <c r="L312" s="403"/>
      <c r="M312" s="403"/>
      <c r="N312" s="403"/>
      <c r="O312" s="403"/>
      <c r="P312" s="403"/>
      <c r="Q312" s="403"/>
      <c r="R312" s="403"/>
      <c r="CD312" s="404"/>
      <c r="CG312" s="404"/>
      <c r="CI312" s="405"/>
      <c r="CJ312" s="405"/>
      <c r="CK312" s="405"/>
      <c r="CL312" s="405"/>
      <c r="CM312" s="405"/>
      <c r="CN312" s="406"/>
      <c r="CO312" s="405"/>
      <c r="CP312" s="405"/>
      <c r="CQ312" s="407"/>
      <c r="CR312" s="408"/>
      <c r="CS312" s="405"/>
      <c r="CT312" s="405"/>
      <c r="CU312" s="409"/>
      <c r="CV312" s="408"/>
      <c r="CW312" s="405"/>
      <c r="CX312" s="405"/>
      <c r="CY312" s="405"/>
      <c r="CZ312" s="408"/>
      <c r="DA312" s="405"/>
      <c r="DB312" s="405"/>
      <c r="DC312" s="405"/>
      <c r="DD312" s="408"/>
      <c r="DE312" s="405"/>
      <c r="DF312" s="405"/>
      <c r="DG312" s="405"/>
      <c r="DH312" s="408"/>
      <c r="DI312" s="405"/>
      <c r="DJ312" s="405"/>
      <c r="DK312" s="405"/>
      <c r="DL312" s="408"/>
      <c r="DM312" s="405"/>
      <c r="DN312" s="405"/>
      <c r="DO312" s="405"/>
    </row>
    <row r="313" ht="14.25" customHeight="1" spans="1:119" x14ac:dyDescent="0.25">
      <c r="A313" s="399"/>
      <c r="B313" s="399"/>
      <c r="C313" s="399"/>
      <c r="D313" s="399"/>
      <c r="E313" s="399"/>
      <c r="F313" s="400"/>
      <c r="G313" s="401"/>
      <c r="H313" s="402"/>
      <c r="I313" s="402"/>
      <c r="J313" s="403"/>
      <c r="K313" s="403"/>
      <c r="L313" s="403"/>
      <c r="M313" s="403"/>
      <c r="N313" s="403"/>
      <c r="O313" s="403"/>
      <c r="P313" s="403"/>
      <c r="Q313" s="403"/>
      <c r="R313" s="403"/>
      <c r="CD313" s="404"/>
      <c r="CG313" s="404"/>
      <c r="CI313" s="405"/>
      <c r="CJ313" s="405"/>
      <c r="CK313" s="405"/>
      <c r="CL313" s="405"/>
      <c r="CM313" s="405"/>
      <c r="CN313" s="406"/>
      <c r="CO313" s="405"/>
      <c r="CP313" s="405"/>
      <c r="CQ313" s="407"/>
      <c r="CR313" s="408"/>
      <c r="CS313" s="405"/>
      <c r="CT313" s="405"/>
      <c r="CU313" s="409"/>
      <c r="CV313" s="408"/>
      <c r="CW313" s="405"/>
      <c r="CX313" s="405"/>
      <c r="CY313" s="405"/>
      <c r="CZ313" s="408"/>
      <c r="DA313" s="405"/>
      <c r="DB313" s="405"/>
      <c r="DC313" s="405"/>
      <c r="DD313" s="408"/>
      <c r="DE313" s="405"/>
      <c r="DF313" s="405"/>
      <c r="DG313" s="405"/>
      <c r="DH313" s="408"/>
      <c r="DI313" s="405"/>
      <c r="DJ313" s="405"/>
      <c r="DK313" s="405"/>
      <c r="DL313" s="408"/>
      <c r="DM313" s="405"/>
      <c r="DN313" s="405"/>
      <c r="DO313" s="405"/>
    </row>
    <row r="314" ht="14.25" customHeight="1" spans="1:119" x14ac:dyDescent="0.25">
      <c r="A314" s="399"/>
      <c r="B314" s="399"/>
      <c r="C314" s="399"/>
      <c r="D314" s="399"/>
      <c r="E314" s="399"/>
      <c r="F314" s="400"/>
      <c r="G314" s="401"/>
      <c r="H314" s="402"/>
      <c r="I314" s="402"/>
      <c r="J314" s="403"/>
      <c r="K314" s="403"/>
      <c r="L314" s="403"/>
      <c r="M314" s="403"/>
      <c r="N314" s="403"/>
      <c r="O314" s="403"/>
      <c r="P314" s="403"/>
      <c r="Q314" s="403"/>
      <c r="R314" s="403"/>
      <c r="CD314" s="404"/>
      <c r="CG314" s="404"/>
      <c r="CI314" s="405"/>
      <c r="CJ314" s="405"/>
      <c r="CK314" s="405"/>
      <c r="CL314" s="405"/>
      <c r="CM314" s="405"/>
      <c r="CN314" s="406"/>
      <c r="CO314" s="405"/>
      <c r="CP314" s="405"/>
      <c r="CQ314" s="407"/>
      <c r="CR314" s="408"/>
      <c r="CS314" s="405"/>
      <c r="CT314" s="405"/>
      <c r="CU314" s="409"/>
      <c r="CV314" s="408"/>
      <c r="CW314" s="405"/>
      <c r="CX314" s="405"/>
      <c r="CY314" s="405"/>
      <c r="CZ314" s="408"/>
      <c r="DA314" s="405"/>
      <c r="DB314" s="405"/>
      <c r="DC314" s="405"/>
      <c r="DD314" s="408"/>
      <c r="DE314" s="405"/>
      <c r="DF314" s="405"/>
      <c r="DG314" s="405"/>
      <c r="DH314" s="408"/>
      <c r="DI314" s="405"/>
      <c r="DJ314" s="405"/>
      <c r="DK314" s="405"/>
      <c r="DL314" s="408"/>
      <c r="DM314" s="405"/>
      <c r="DN314" s="405"/>
      <c r="DO314" s="405"/>
    </row>
    <row r="315" ht="14.25" customHeight="1" spans="1:119" x14ac:dyDescent="0.25">
      <c r="A315" s="399"/>
      <c r="B315" s="399"/>
      <c r="C315" s="399"/>
      <c r="D315" s="399"/>
      <c r="E315" s="399"/>
      <c r="F315" s="400"/>
      <c r="G315" s="401"/>
      <c r="H315" s="402"/>
      <c r="I315" s="402"/>
      <c r="J315" s="403"/>
      <c r="K315" s="403"/>
      <c r="L315" s="403"/>
      <c r="M315" s="403"/>
      <c r="N315" s="403"/>
      <c r="O315" s="403"/>
      <c r="P315" s="403"/>
      <c r="Q315" s="403"/>
      <c r="R315" s="403"/>
      <c r="CD315" s="404"/>
      <c r="CG315" s="404"/>
      <c r="CI315" s="405"/>
      <c r="CJ315" s="405"/>
      <c r="CK315" s="405"/>
      <c r="CL315" s="405"/>
      <c r="CM315" s="405"/>
      <c r="CN315" s="406"/>
      <c r="CO315" s="405"/>
      <c r="CP315" s="405"/>
      <c r="CQ315" s="407"/>
      <c r="CR315" s="408"/>
      <c r="CS315" s="405"/>
      <c r="CT315" s="405"/>
      <c r="CU315" s="409"/>
      <c r="CV315" s="408"/>
      <c r="CW315" s="405"/>
      <c r="CX315" s="405"/>
      <c r="CY315" s="405"/>
      <c r="CZ315" s="408"/>
      <c r="DA315" s="405"/>
      <c r="DB315" s="405"/>
      <c r="DC315" s="405"/>
      <c r="DD315" s="408"/>
      <c r="DE315" s="405"/>
      <c r="DF315" s="405"/>
      <c r="DG315" s="405"/>
      <c r="DH315" s="408"/>
      <c r="DI315" s="405"/>
      <c r="DJ315" s="405"/>
      <c r="DK315" s="405"/>
      <c r="DL315" s="408"/>
      <c r="DM315" s="405"/>
      <c r="DN315" s="405"/>
      <c r="DO315" s="405"/>
    </row>
    <row r="316" ht="14.25" customHeight="1" spans="1:119" x14ac:dyDescent="0.25">
      <c r="A316" s="399"/>
      <c r="B316" s="399"/>
      <c r="C316" s="399"/>
      <c r="D316" s="399"/>
      <c r="E316" s="399"/>
      <c r="F316" s="400"/>
      <c r="G316" s="401"/>
      <c r="H316" s="402"/>
      <c r="I316" s="402"/>
      <c r="J316" s="403"/>
      <c r="K316" s="403"/>
      <c r="L316" s="403"/>
      <c r="M316" s="403"/>
      <c r="N316" s="403"/>
      <c r="O316" s="403"/>
      <c r="P316" s="403"/>
      <c r="Q316" s="403"/>
      <c r="R316" s="403"/>
      <c r="CD316" s="404"/>
      <c r="CG316" s="404"/>
      <c r="CI316" s="405"/>
      <c r="CJ316" s="405"/>
      <c r="CK316" s="405"/>
      <c r="CL316" s="405"/>
      <c r="CM316" s="405"/>
      <c r="CN316" s="406"/>
      <c r="CO316" s="405"/>
      <c r="CP316" s="405"/>
      <c r="CQ316" s="407"/>
      <c r="CR316" s="408"/>
      <c r="CS316" s="405"/>
      <c r="CT316" s="405"/>
      <c r="CU316" s="409"/>
      <c r="CV316" s="408"/>
      <c r="CW316" s="405"/>
      <c r="CX316" s="405"/>
      <c r="CY316" s="405"/>
      <c r="CZ316" s="408"/>
      <c r="DA316" s="405"/>
      <c r="DB316" s="405"/>
      <c r="DC316" s="405"/>
      <c r="DD316" s="408"/>
      <c r="DE316" s="405"/>
      <c r="DF316" s="405"/>
      <c r="DG316" s="405"/>
      <c r="DH316" s="408"/>
      <c r="DI316" s="405"/>
      <c r="DJ316" s="405"/>
      <c r="DK316" s="405"/>
      <c r="DL316" s="408"/>
      <c r="DM316" s="405"/>
      <c r="DN316" s="405"/>
      <c r="DO316" s="405"/>
    </row>
    <row r="317" ht="14.25" customHeight="1" spans="1:119" x14ac:dyDescent="0.25">
      <c r="A317" s="399"/>
      <c r="B317" s="399"/>
      <c r="C317" s="399"/>
      <c r="D317" s="399"/>
      <c r="E317" s="399"/>
      <c r="F317" s="400"/>
      <c r="G317" s="401"/>
      <c r="H317" s="402"/>
      <c r="I317" s="402"/>
      <c r="J317" s="403"/>
      <c r="K317" s="403"/>
      <c r="L317" s="403"/>
      <c r="M317" s="403"/>
      <c r="N317" s="403"/>
      <c r="O317" s="403"/>
      <c r="P317" s="403"/>
      <c r="Q317" s="403"/>
      <c r="R317" s="403"/>
      <c r="CD317" s="404"/>
      <c r="CG317" s="404"/>
      <c r="CI317" s="405"/>
      <c r="CJ317" s="405"/>
      <c r="CK317" s="405"/>
      <c r="CL317" s="405"/>
      <c r="CM317" s="405"/>
      <c r="CN317" s="406"/>
      <c r="CO317" s="405"/>
      <c r="CP317" s="405"/>
      <c r="CQ317" s="407"/>
      <c r="CR317" s="408"/>
      <c r="CS317" s="405"/>
      <c r="CT317" s="405"/>
      <c r="CU317" s="409"/>
      <c r="CV317" s="408"/>
      <c r="CW317" s="405"/>
      <c r="CX317" s="405"/>
      <c r="CY317" s="405"/>
      <c r="CZ317" s="408"/>
      <c r="DA317" s="405"/>
      <c r="DB317" s="405"/>
      <c r="DC317" s="405"/>
      <c r="DD317" s="408"/>
      <c r="DE317" s="405"/>
      <c r="DF317" s="405"/>
      <c r="DG317" s="405"/>
      <c r="DH317" s="408"/>
      <c r="DI317" s="405"/>
      <c r="DJ317" s="405"/>
      <c r="DK317" s="405"/>
      <c r="DL317" s="408"/>
      <c r="DM317" s="405"/>
      <c r="DN317" s="405"/>
      <c r="DO317" s="405"/>
    </row>
    <row r="318" ht="14.25" customHeight="1" spans="1:119" x14ac:dyDescent="0.25">
      <c r="A318" s="399"/>
      <c r="B318" s="399"/>
      <c r="C318" s="399"/>
      <c r="D318" s="399"/>
      <c r="E318" s="399"/>
      <c r="F318" s="400"/>
      <c r="G318" s="401"/>
      <c r="H318" s="402"/>
      <c r="I318" s="402"/>
      <c r="J318" s="403"/>
      <c r="K318" s="403"/>
      <c r="L318" s="403"/>
      <c r="M318" s="403"/>
      <c r="N318" s="403"/>
      <c r="O318" s="403"/>
      <c r="P318" s="403"/>
      <c r="Q318" s="403"/>
      <c r="R318" s="403"/>
      <c r="CD318" s="404"/>
      <c r="CG318" s="404"/>
      <c r="CI318" s="405"/>
      <c r="CJ318" s="405"/>
      <c r="CK318" s="405"/>
      <c r="CL318" s="405"/>
      <c r="CM318" s="405"/>
      <c r="CN318" s="406"/>
      <c r="CO318" s="405"/>
      <c r="CP318" s="405"/>
      <c r="CQ318" s="407"/>
      <c r="CR318" s="408"/>
      <c r="CS318" s="405"/>
      <c r="CT318" s="405"/>
      <c r="CU318" s="409"/>
      <c r="CV318" s="408"/>
      <c r="CW318" s="405"/>
      <c r="CX318" s="405"/>
      <c r="CY318" s="405"/>
      <c r="CZ318" s="408"/>
      <c r="DA318" s="405"/>
      <c r="DB318" s="405"/>
      <c r="DC318" s="405"/>
      <c r="DD318" s="408"/>
      <c r="DE318" s="405"/>
      <c r="DF318" s="405"/>
      <c r="DG318" s="405"/>
      <c r="DH318" s="408"/>
      <c r="DI318" s="405"/>
      <c r="DJ318" s="405"/>
      <c r="DK318" s="405"/>
      <c r="DL318" s="408"/>
      <c r="DM318" s="405"/>
      <c r="DN318" s="405"/>
      <c r="DO318" s="405"/>
    </row>
    <row r="319" ht="14.25" customHeight="1" spans="1:119" x14ac:dyDescent="0.25">
      <c r="A319" s="399"/>
      <c r="B319" s="399"/>
      <c r="C319" s="399"/>
      <c r="D319" s="399"/>
      <c r="E319" s="399"/>
      <c r="F319" s="400"/>
      <c r="G319" s="401"/>
      <c r="H319" s="402"/>
      <c r="I319" s="402"/>
      <c r="J319" s="403"/>
      <c r="K319" s="403"/>
      <c r="L319" s="403"/>
      <c r="M319" s="403"/>
      <c r="N319" s="403"/>
      <c r="O319" s="403"/>
      <c r="P319" s="403"/>
      <c r="Q319" s="403"/>
      <c r="R319" s="403"/>
      <c r="CD319" s="404"/>
      <c r="CG319" s="404"/>
      <c r="CI319" s="405"/>
      <c r="CJ319" s="405"/>
      <c r="CK319" s="405"/>
      <c r="CL319" s="405"/>
      <c r="CM319" s="405"/>
      <c r="CN319" s="406"/>
      <c r="CO319" s="405"/>
      <c r="CP319" s="405"/>
      <c r="CQ319" s="407"/>
      <c r="CR319" s="408"/>
      <c r="CS319" s="405"/>
      <c r="CT319" s="405"/>
      <c r="CU319" s="409"/>
      <c r="CV319" s="408"/>
      <c r="CW319" s="405"/>
      <c r="CX319" s="405"/>
      <c r="CY319" s="405"/>
      <c r="CZ319" s="408"/>
      <c r="DA319" s="405"/>
      <c r="DB319" s="405"/>
      <c r="DC319" s="405"/>
      <c r="DD319" s="408"/>
      <c r="DE319" s="405"/>
      <c r="DF319" s="405"/>
      <c r="DG319" s="405"/>
      <c r="DH319" s="408"/>
      <c r="DI319" s="405"/>
      <c r="DJ319" s="405"/>
      <c r="DK319" s="405"/>
      <c r="DL319" s="408"/>
      <c r="DM319" s="405"/>
      <c r="DN319" s="405"/>
      <c r="DO319" s="405"/>
    </row>
    <row r="320" ht="14.25" customHeight="1" spans="1:119" x14ac:dyDescent="0.25">
      <c r="A320" s="399"/>
      <c r="B320" s="399"/>
      <c r="C320" s="399"/>
      <c r="D320" s="399"/>
      <c r="E320" s="399"/>
      <c r="F320" s="400"/>
      <c r="G320" s="401"/>
      <c r="H320" s="402"/>
      <c r="I320" s="402"/>
      <c r="J320" s="403"/>
      <c r="K320" s="403"/>
      <c r="L320" s="403"/>
      <c r="M320" s="403"/>
      <c r="N320" s="403"/>
      <c r="O320" s="403"/>
      <c r="P320" s="403"/>
      <c r="Q320" s="403"/>
      <c r="R320" s="403"/>
      <c r="CD320" s="404"/>
      <c r="CG320" s="404"/>
      <c r="CI320" s="405"/>
      <c r="CJ320" s="405"/>
      <c r="CK320" s="405"/>
      <c r="CL320" s="405"/>
      <c r="CM320" s="405"/>
      <c r="CN320" s="406"/>
      <c r="CO320" s="405"/>
      <c r="CP320" s="405"/>
      <c r="CQ320" s="407"/>
      <c r="CR320" s="408"/>
      <c r="CS320" s="405"/>
      <c r="CT320" s="405"/>
      <c r="CU320" s="409"/>
      <c r="CV320" s="408"/>
      <c r="CW320" s="405"/>
      <c r="CX320" s="405"/>
      <c r="CY320" s="405"/>
      <c r="CZ320" s="408"/>
      <c r="DA320" s="405"/>
      <c r="DB320" s="405"/>
      <c r="DC320" s="405"/>
      <c r="DD320" s="408"/>
      <c r="DE320" s="405"/>
      <c r="DF320" s="405"/>
      <c r="DG320" s="405"/>
      <c r="DH320" s="408"/>
      <c r="DI320" s="405"/>
      <c r="DJ320" s="405"/>
      <c r="DK320" s="405"/>
      <c r="DL320" s="408"/>
      <c r="DM320" s="405"/>
      <c r="DN320" s="405"/>
      <c r="DO320" s="405"/>
    </row>
    <row r="321" ht="14.25" customHeight="1" spans="1:119" x14ac:dyDescent="0.25">
      <c r="A321" s="399"/>
      <c r="B321" s="399"/>
      <c r="C321" s="399"/>
      <c r="D321" s="399"/>
      <c r="E321" s="399"/>
      <c r="F321" s="400"/>
      <c r="G321" s="401"/>
      <c r="H321" s="402"/>
      <c r="I321" s="402"/>
      <c r="J321" s="403"/>
      <c r="K321" s="403"/>
      <c r="L321" s="403"/>
      <c r="M321" s="403"/>
      <c r="N321" s="403"/>
      <c r="O321" s="403"/>
      <c r="P321" s="403"/>
      <c r="Q321" s="403"/>
      <c r="R321" s="403"/>
      <c r="CD321" s="404"/>
      <c r="CG321" s="404"/>
      <c r="CI321" s="405"/>
      <c r="CJ321" s="405"/>
      <c r="CK321" s="405"/>
      <c r="CL321" s="405"/>
      <c r="CM321" s="405"/>
      <c r="CN321" s="406"/>
      <c r="CO321" s="405"/>
      <c r="CP321" s="405"/>
      <c r="CQ321" s="407"/>
      <c r="CR321" s="408"/>
      <c r="CS321" s="405"/>
      <c r="CT321" s="405"/>
      <c r="CU321" s="409"/>
      <c r="CV321" s="408"/>
      <c r="CW321" s="405"/>
      <c r="CX321" s="405"/>
      <c r="CY321" s="405"/>
      <c r="CZ321" s="408"/>
      <c r="DA321" s="405"/>
      <c r="DB321" s="405"/>
      <c r="DC321" s="405"/>
      <c r="DD321" s="408"/>
      <c r="DE321" s="405"/>
      <c r="DF321" s="405"/>
      <c r="DG321" s="405"/>
      <c r="DH321" s="408"/>
      <c r="DI321" s="405"/>
      <c r="DJ321" s="405"/>
      <c r="DK321" s="405"/>
      <c r="DL321" s="408"/>
      <c r="DM321" s="405"/>
      <c r="DN321" s="405"/>
      <c r="DO321" s="405"/>
    </row>
    <row r="322" ht="14.25" customHeight="1" spans="1:119" x14ac:dyDescent="0.25">
      <c r="A322" s="399"/>
      <c r="B322" s="399"/>
      <c r="C322" s="399"/>
      <c r="D322" s="399"/>
      <c r="E322" s="399"/>
      <c r="F322" s="400"/>
      <c r="G322" s="401"/>
      <c r="H322" s="402"/>
      <c r="I322" s="402"/>
      <c r="J322" s="403"/>
      <c r="K322" s="403"/>
      <c r="L322" s="403"/>
      <c r="M322" s="403"/>
      <c r="N322" s="403"/>
      <c r="O322" s="403"/>
      <c r="P322" s="403"/>
      <c r="Q322" s="403"/>
      <c r="R322" s="403"/>
      <c r="CD322" s="404"/>
      <c r="CG322" s="404"/>
      <c r="CI322" s="405"/>
      <c r="CJ322" s="405"/>
      <c r="CK322" s="405"/>
      <c r="CL322" s="405"/>
      <c r="CM322" s="405"/>
      <c r="CN322" s="406"/>
      <c r="CO322" s="405"/>
      <c r="CP322" s="405"/>
      <c r="CQ322" s="407"/>
      <c r="CR322" s="408"/>
      <c r="CS322" s="405"/>
      <c r="CT322" s="405"/>
      <c r="CU322" s="409"/>
      <c r="CV322" s="408"/>
      <c r="CW322" s="405"/>
      <c r="CX322" s="405"/>
      <c r="CY322" s="405"/>
      <c r="CZ322" s="408"/>
      <c r="DA322" s="405"/>
      <c r="DB322" s="405"/>
      <c r="DC322" s="405"/>
      <c r="DD322" s="408"/>
      <c r="DE322" s="405"/>
      <c r="DF322" s="405"/>
      <c r="DG322" s="405"/>
      <c r="DH322" s="408"/>
      <c r="DI322" s="405"/>
      <c r="DJ322" s="405"/>
      <c r="DK322" s="405"/>
      <c r="DL322" s="408"/>
      <c r="DM322" s="405"/>
      <c r="DN322" s="405"/>
      <c r="DO322" s="405"/>
    </row>
    <row r="323" ht="14.25" customHeight="1" spans="1:119" x14ac:dyDescent="0.25">
      <c r="A323" s="399"/>
      <c r="B323" s="399"/>
      <c r="C323" s="399"/>
      <c r="D323" s="399"/>
      <c r="E323" s="399"/>
      <c r="F323" s="400"/>
      <c r="G323" s="401"/>
      <c r="H323" s="402"/>
      <c r="I323" s="402"/>
      <c r="J323" s="403"/>
      <c r="K323" s="403"/>
      <c r="L323" s="403"/>
      <c r="M323" s="403"/>
      <c r="N323" s="403"/>
      <c r="O323" s="403"/>
      <c r="P323" s="403"/>
      <c r="Q323" s="403"/>
      <c r="R323" s="403"/>
      <c r="CD323" s="404"/>
      <c r="CG323" s="404"/>
      <c r="CI323" s="405"/>
      <c r="CJ323" s="405"/>
      <c r="CK323" s="405"/>
      <c r="CL323" s="405"/>
      <c r="CM323" s="405"/>
      <c r="CN323" s="406"/>
      <c r="CO323" s="405"/>
      <c r="CP323" s="405"/>
      <c r="CQ323" s="407"/>
      <c r="CR323" s="408"/>
      <c r="CS323" s="405"/>
      <c r="CT323" s="405"/>
      <c r="CU323" s="409"/>
      <c r="CV323" s="408"/>
      <c r="CW323" s="405"/>
      <c r="CX323" s="405"/>
      <c r="CY323" s="405"/>
      <c r="CZ323" s="408"/>
      <c r="DA323" s="405"/>
      <c r="DB323" s="405"/>
      <c r="DC323" s="405"/>
      <c r="DD323" s="408"/>
      <c r="DE323" s="405"/>
      <c r="DF323" s="405"/>
      <c r="DG323" s="405"/>
      <c r="DH323" s="408"/>
      <c r="DI323" s="405"/>
      <c r="DJ323" s="405"/>
      <c r="DK323" s="405"/>
      <c r="DL323" s="408"/>
      <c r="DM323" s="405"/>
      <c r="DN323" s="405"/>
      <c r="DO323" s="405"/>
    </row>
    <row r="324" ht="14.25" customHeight="1" spans="1:119" x14ac:dyDescent="0.25">
      <c r="A324" s="399"/>
      <c r="B324" s="399"/>
      <c r="C324" s="399"/>
      <c r="D324" s="399"/>
      <c r="E324" s="399"/>
      <c r="F324" s="400"/>
      <c r="G324" s="401"/>
      <c r="H324" s="402"/>
      <c r="I324" s="402"/>
      <c r="J324" s="403"/>
      <c r="K324" s="403"/>
      <c r="L324" s="403"/>
      <c r="M324" s="403"/>
      <c r="N324" s="403"/>
      <c r="O324" s="403"/>
      <c r="P324" s="403"/>
      <c r="Q324" s="403"/>
      <c r="R324" s="403"/>
      <c r="CD324" s="404"/>
      <c r="CG324" s="404"/>
      <c r="CI324" s="405"/>
      <c r="CJ324" s="405"/>
      <c r="CK324" s="405"/>
      <c r="CL324" s="405"/>
      <c r="CM324" s="405"/>
      <c r="CN324" s="406"/>
      <c r="CO324" s="405"/>
      <c r="CP324" s="405"/>
      <c r="CQ324" s="407"/>
      <c r="CR324" s="408"/>
      <c r="CS324" s="405"/>
      <c r="CT324" s="405"/>
      <c r="CU324" s="409"/>
      <c r="CV324" s="408"/>
      <c r="CW324" s="405"/>
      <c r="CX324" s="405"/>
      <c r="CY324" s="405"/>
      <c r="CZ324" s="408"/>
      <c r="DA324" s="405"/>
      <c r="DB324" s="405"/>
      <c r="DC324" s="405"/>
      <c r="DD324" s="408"/>
      <c r="DE324" s="405"/>
      <c r="DF324" s="405"/>
      <c r="DG324" s="405"/>
      <c r="DH324" s="408"/>
      <c r="DI324" s="405"/>
      <c r="DJ324" s="405"/>
      <c r="DK324" s="405"/>
      <c r="DL324" s="408"/>
      <c r="DM324" s="405"/>
      <c r="DN324" s="405"/>
      <c r="DO324" s="405"/>
    </row>
    <row r="325" ht="14.25" customHeight="1" spans="1:119" x14ac:dyDescent="0.25">
      <c r="A325" s="399"/>
      <c r="B325" s="399"/>
      <c r="C325" s="399"/>
      <c r="D325" s="399"/>
      <c r="E325" s="399"/>
      <c r="F325" s="400"/>
      <c r="G325" s="401"/>
      <c r="H325" s="402"/>
      <c r="I325" s="402"/>
      <c r="J325" s="403"/>
      <c r="K325" s="403"/>
      <c r="L325" s="403"/>
      <c r="M325" s="403"/>
      <c r="N325" s="403"/>
      <c r="O325" s="403"/>
      <c r="P325" s="403"/>
      <c r="Q325" s="403"/>
      <c r="R325" s="403"/>
      <c r="CD325" s="404"/>
      <c r="CG325" s="404"/>
      <c r="CI325" s="405"/>
      <c r="CJ325" s="405"/>
      <c r="CK325" s="405"/>
      <c r="CL325" s="405"/>
      <c r="CM325" s="405"/>
      <c r="CN325" s="406"/>
      <c r="CO325" s="405"/>
      <c r="CP325" s="405"/>
      <c r="CQ325" s="407"/>
      <c r="CR325" s="408"/>
      <c r="CS325" s="405"/>
      <c r="CT325" s="405"/>
      <c r="CU325" s="409"/>
      <c r="CV325" s="408"/>
      <c r="CW325" s="405"/>
      <c r="CX325" s="405"/>
      <c r="CY325" s="405"/>
      <c r="CZ325" s="408"/>
      <c r="DA325" s="405"/>
      <c r="DB325" s="405"/>
      <c r="DC325" s="405"/>
      <c r="DD325" s="408"/>
      <c r="DE325" s="405"/>
      <c r="DF325" s="405"/>
      <c r="DG325" s="405"/>
      <c r="DH325" s="408"/>
      <c r="DI325" s="405"/>
      <c r="DJ325" s="405"/>
      <c r="DK325" s="405"/>
      <c r="DL325" s="408"/>
      <c r="DM325" s="405"/>
      <c r="DN325" s="405"/>
      <c r="DO325" s="405"/>
    </row>
    <row r="326" ht="14.25" customHeight="1" spans="1:119" x14ac:dyDescent="0.25">
      <c r="A326" s="399"/>
      <c r="B326" s="399"/>
      <c r="C326" s="399"/>
      <c r="D326" s="399"/>
      <c r="E326" s="399"/>
      <c r="F326" s="400"/>
      <c r="G326" s="401"/>
      <c r="H326" s="402"/>
      <c r="I326" s="402"/>
      <c r="J326" s="403"/>
      <c r="K326" s="403"/>
      <c r="L326" s="403"/>
      <c r="M326" s="403"/>
      <c r="N326" s="403"/>
      <c r="O326" s="403"/>
      <c r="P326" s="403"/>
      <c r="Q326" s="403"/>
      <c r="R326" s="403"/>
      <c r="CD326" s="404"/>
      <c r="CG326" s="404"/>
      <c r="CI326" s="405"/>
      <c r="CJ326" s="405"/>
      <c r="CK326" s="405"/>
      <c r="CL326" s="405"/>
      <c r="CM326" s="405"/>
      <c r="CN326" s="406"/>
      <c r="CO326" s="405"/>
      <c r="CP326" s="405"/>
      <c r="CQ326" s="407"/>
      <c r="CR326" s="408"/>
      <c r="CS326" s="405"/>
      <c r="CT326" s="405"/>
      <c r="CU326" s="409"/>
      <c r="CV326" s="408"/>
      <c r="CW326" s="405"/>
      <c r="CX326" s="405"/>
      <c r="CY326" s="405"/>
      <c r="CZ326" s="408"/>
      <c r="DA326" s="405"/>
      <c r="DB326" s="405"/>
      <c r="DC326" s="405"/>
      <c r="DD326" s="408"/>
      <c r="DE326" s="405"/>
      <c r="DF326" s="405"/>
      <c r="DG326" s="405"/>
      <c r="DH326" s="408"/>
      <c r="DI326" s="405"/>
      <c r="DJ326" s="405"/>
      <c r="DK326" s="405"/>
      <c r="DL326" s="408"/>
      <c r="DM326" s="405"/>
      <c r="DN326" s="405"/>
      <c r="DO326" s="405"/>
    </row>
    <row r="327" ht="14.25" customHeight="1" spans="1:119" x14ac:dyDescent="0.25">
      <c r="A327" s="399"/>
      <c r="B327" s="399"/>
      <c r="C327" s="399"/>
      <c r="D327" s="399"/>
      <c r="E327" s="399"/>
      <c r="F327" s="400"/>
      <c r="G327" s="401"/>
      <c r="H327" s="402"/>
      <c r="I327" s="402"/>
      <c r="J327" s="403"/>
      <c r="K327" s="403"/>
      <c r="L327" s="403"/>
      <c r="M327" s="403"/>
      <c r="N327" s="403"/>
      <c r="O327" s="403"/>
      <c r="P327" s="403"/>
      <c r="Q327" s="403"/>
      <c r="R327" s="403"/>
      <c r="CD327" s="404"/>
      <c r="CG327" s="404"/>
      <c r="CI327" s="405"/>
      <c r="CJ327" s="405"/>
      <c r="CK327" s="405"/>
      <c r="CL327" s="405"/>
      <c r="CM327" s="405"/>
      <c r="CN327" s="406"/>
      <c r="CO327" s="405"/>
      <c r="CP327" s="405"/>
      <c r="CQ327" s="407"/>
      <c r="CR327" s="408"/>
      <c r="CS327" s="405"/>
      <c r="CT327" s="405"/>
      <c r="CU327" s="409"/>
      <c r="CV327" s="408"/>
      <c r="CW327" s="405"/>
      <c r="CX327" s="405"/>
      <c r="CY327" s="405"/>
      <c r="CZ327" s="408"/>
      <c r="DA327" s="405"/>
      <c r="DB327" s="405"/>
      <c r="DC327" s="405"/>
      <c r="DD327" s="408"/>
      <c r="DE327" s="405"/>
      <c r="DF327" s="405"/>
      <c r="DG327" s="405"/>
      <c r="DH327" s="408"/>
      <c r="DI327" s="405"/>
      <c r="DJ327" s="405"/>
      <c r="DK327" s="405"/>
      <c r="DL327" s="408"/>
      <c r="DM327" s="405"/>
      <c r="DN327" s="405"/>
      <c r="DO327" s="405"/>
    </row>
    <row r="328" ht="14.25" customHeight="1" spans="1:119" x14ac:dyDescent="0.25">
      <c r="A328" s="399"/>
      <c r="B328" s="399"/>
      <c r="C328" s="399"/>
      <c r="D328" s="399"/>
      <c r="E328" s="399"/>
      <c r="F328" s="400"/>
      <c r="G328" s="401"/>
      <c r="H328" s="402"/>
      <c r="I328" s="402"/>
      <c r="J328" s="403"/>
      <c r="K328" s="403"/>
      <c r="L328" s="403"/>
      <c r="M328" s="403"/>
      <c r="N328" s="403"/>
      <c r="O328" s="403"/>
      <c r="P328" s="403"/>
      <c r="Q328" s="403"/>
      <c r="R328" s="403"/>
      <c r="CD328" s="404"/>
      <c r="CG328" s="404"/>
      <c r="CI328" s="405"/>
      <c r="CJ328" s="405"/>
      <c r="CK328" s="405"/>
      <c r="CL328" s="405"/>
      <c r="CM328" s="405"/>
      <c r="CN328" s="406"/>
      <c r="CO328" s="405"/>
      <c r="CP328" s="405"/>
      <c r="CQ328" s="407"/>
      <c r="CR328" s="408"/>
      <c r="CS328" s="405"/>
      <c r="CT328" s="405"/>
      <c r="CU328" s="409"/>
      <c r="CV328" s="408"/>
      <c r="CW328" s="405"/>
      <c r="CX328" s="405"/>
      <c r="CY328" s="405"/>
      <c r="CZ328" s="408"/>
      <c r="DA328" s="405"/>
      <c r="DB328" s="405"/>
      <c r="DC328" s="405"/>
      <c r="DD328" s="408"/>
      <c r="DE328" s="405"/>
      <c r="DF328" s="405"/>
      <c r="DG328" s="405"/>
      <c r="DH328" s="408"/>
      <c r="DI328" s="405"/>
      <c r="DJ328" s="405"/>
      <c r="DK328" s="405"/>
      <c r="DL328" s="408"/>
      <c r="DM328" s="405"/>
      <c r="DN328" s="405"/>
      <c r="DO328" s="405"/>
    </row>
    <row r="329" ht="14.25" customHeight="1" spans="1:119" x14ac:dyDescent="0.25">
      <c r="A329" s="399"/>
      <c r="B329" s="399"/>
      <c r="C329" s="399"/>
      <c r="D329" s="399"/>
      <c r="E329" s="399"/>
      <c r="F329" s="400"/>
      <c r="G329" s="401"/>
      <c r="H329" s="402"/>
      <c r="I329" s="402"/>
      <c r="J329" s="403"/>
      <c r="K329" s="403"/>
      <c r="L329" s="403"/>
      <c r="M329" s="403"/>
      <c r="N329" s="403"/>
      <c r="O329" s="403"/>
      <c r="P329" s="403"/>
      <c r="Q329" s="403"/>
      <c r="R329" s="403"/>
      <c r="CD329" s="404"/>
      <c r="CG329" s="404"/>
      <c r="CI329" s="405"/>
      <c r="CJ329" s="405"/>
      <c r="CK329" s="405"/>
      <c r="CL329" s="405"/>
      <c r="CM329" s="405"/>
      <c r="CN329" s="406"/>
      <c r="CO329" s="405"/>
      <c r="CP329" s="405"/>
      <c r="CQ329" s="407"/>
      <c r="CR329" s="408"/>
      <c r="CS329" s="405"/>
      <c r="CT329" s="405"/>
      <c r="CU329" s="409"/>
      <c r="CV329" s="408"/>
      <c r="CW329" s="405"/>
      <c r="CX329" s="405"/>
      <c r="CY329" s="405"/>
      <c r="CZ329" s="408"/>
      <c r="DA329" s="405"/>
      <c r="DB329" s="405"/>
      <c r="DC329" s="405"/>
      <c r="DD329" s="408"/>
      <c r="DE329" s="405"/>
      <c r="DF329" s="405"/>
      <c r="DG329" s="405"/>
      <c r="DH329" s="408"/>
      <c r="DI329" s="405"/>
      <c r="DJ329" s="405"/>
      <c r="DK329" s="405"/>
      <c r="DL329" s="408"/>
      <c r="DM329" s="405"/>
      <c r="DN329" s="405"/>
      <c r="DO329" s="405"/>
    </row>
    <row r="330" ht="14.25" customHeight="1" spans="1:119" x14ac:dyDescent="0.25">
      <c r="A330" s="399"/>
      <c r="B330" s="399"/>
      <c r="C330" s="399"/>
      <c r="D330" s="399"/>
      <c r="E330" s="399"/>
      <c r="F330" s="400"/>
      <c r="G330" s="401"/>
      <c r="H330" s="402"/>
      <c r="I330" s="402"/>
      <c r="J330" s="403"/>
      <c r="K330" s="403"/>
      <c r="L330" s="403"/>
      <c r="M330" s="403"/>
      <c r="N330" s="403"/>
      <c r="O330" s="403"/>
      <c r="P330" s="403"/>
      <c r="Q330" s="403"/>
      <c r="R330" s="403"/>
      <c r="CD330" s="404"/>
      <c r="CG330" s="404"/>
      <c r="CI330" s="405"/>
      <c r="CJ330" s="405"/>
      <c r="CK330" s="405"/>
      <c r="CL330" s="405"/>
      <c r="CM330" s="405"/>
      <c r="CN330" s="406"/>
      <c r="CO330" s="405"/>
      <c r="CP330" s="405"/>
      <c r="CQ330" s="407"/>
      <c r="CR330" s="408"/>
      <c r="CS330" s="405"/>
      <c r="CT330" s="405"/>
      <c r="CU330" s="409"/>
      <c r="CV330" s="408"/>
      <c r="CW330" s="405"/>
      <c r="CX330" s="405"/>
      <c r="CY330" s="405"/>
      <c r="CZ330" s="408"/>
      <c r="DA330" s="405"/>
      <c r="DB330" s="405"/>
      <c r="DC330" s="405"/>
      <c r="DD330" s="408"/>
      <c r="DE330" s="405"/>
      <c r="DF330" s="405"/>
      <c r="DG330" s="405"/>
      <c r="DH330" s="408"/>
      <c r="DI330" s="405"/>
      <c r="DJ330" s="405"/>
      <c r="DK330" s="405"/>
      <c r="DL330" s="408"/>
      <c r="DM330" s="405"/>
      <c r="DN330" s="405"/>
      <c r="DO330" s="405"/>
    </row>
    <row r="331" ht="14.25" customHeight="1" spans="1:119" x14ac:dyDescent="0.25">
      <c r="A331" s="399"/>
      <c r="B331" s="399"/>
      <c r="C331" s="399"/>
      <c r="D331" s="399"/>
      <c r="E331" s="399"/>
      <c r="F331" s="400"/>
      <c r="G331" s="401"/>
      <c r="H331" s="402"/>
      <c r="I331" s="402"/>
      <c r="J331" s="403"/>
      <c r="K331" s="403"/>
      <c r="L331" s="403"/>
      <c r="M331" s="403"/>
      <c r="N331" s="403"/>
      <c r="O331" s="403"/>
      <c r="P331" s="403"/>
      <c r="Q331" s="403"/>
      <c r="R331" s="403"/>
      <c r="CD331" s="404"/>
      <c r="CG331" s="404"/>
      <c r="CI331" s="405"/>
      <c r="CJ331" s="405"/>
      <c r="CK331" s="405"/>
      <c r="CL331" s="405"/>
      <c r="CM331" s="405"/>
      <c r="CN331" s="406"/>
      <c r="CO331" s="405"/>
      <c r="CP331" s="405"/>
      <c r="CQ331" s="407"/>
      <c r="CR331" s="408"/>
      <c r="CS331" s="405"/>
      <c r="CT331" s="405"/>
      <c r="CU331" s="409"/>
      <c r="CV331" s="408"/>
      <c r="CW331" s="405"/>
      <c r="CX331" s="405"/>
      <c r="CY331" s="405"/>
      <c r="CZ331" s="408"/>
      <c r="DA331" s="405"/>
      <c r="DB331" s="405"/>
      <c r="DC331" s="405"/>
      <c r="DD331" s="408"/>
      <c r="DE331" s="405"/>
      <c r="DF331" s="405"/>
      <c r="DG331" s="405"/>
      <c r="DH331" s="408"/>
      <c r="DI331" s="405"/>
      <c r="DJ331" s="405"/>
      <c r="DK331" s="405"/>
      <c r="DL331" s="408"/>
      <c r="DM331" s="405"/>
      <c r="DN331" s="405"/>
      <c r="DO331" s="405"/>
    </row>
    <row r="332" ht="14.25" customHeight="1" spans="1:119" x14ac:dyDescent="0.25">
      <c r="A332" s="399"/>
      <c r="B332" s="399"/>
      <c r="C332" s="399"/>
      <c r="D332" s="399"/>
      <c r="E332" s="399"/>
      <c r="F332" s="400"/>
      <c r="G332" s="401"/>
      <c r="H332" s="402"/>
      <c r="I332" s="402"/>
      <c r="J332" s="403"/>
      <c r="K332" s="403"/>
      <c r="L332" s="403"/>
      <c r="M332" s="403"/>
      <c r="N332" s="403"/>
      <c r="O332" s="403"/>
      <c r="P332" s="403"/>
      <c r="Q332" s="403"/>
      <c r="R332" s="403"/>
      <c r="CD332" s="404"/>
      <c r="CG332" s="404"/>
      <c r="CI332" s="405"/>
      <c r="CJ332" s="405"/>
      <c r="CK332" s="405"/>
      <c r="CL332" s="405"/>
      <c r="CM332" s="405"/>
      <c r="CN332" s="406"/>
      <c r="CO332" s="405"/>
      <c r="CP332" s="405"/>
      <c r="CQ332" s="407"/>
      <c r="CR332" s="408"/>
      <c r="CS332" s="405"/>
      <c r="CT332" s="405"/>
      <c r="CU332" s="409"/>
      <c r="CV332" s="408"/>
      <c r="CW332" s="405"/>
      <c r="CX332" s="405"/>
      <c r="CY332" s="405"/>
      <c r="CZ332" s="408"/>
      <c r="DA332" s="405"/>
      <c r="DB332" s="405"/>
      <c r="DC332" s="405"/>
      <c r="DD332" s="408"/>
      <c r="DE332" s="405"/>
      <c r="DF332" s="405"/>
      <c r="DG332" s="405"/>
      <c r="DH332" s="408"/>
      <c r="DI332" s="405"/>
      <c r="DJ332" s="405"/>
      <c r="DK332" s="405"/>
      <c r="DL332" s="408"/>
      <c r="DM332" s="405"/>
      <c r="DN332" s="405"/>
      <c r="DO332" s="405"/>
    </row>
    <row r="333" ht="14.25" customHeight="1" spans="1:119" x14ac:dyDescent="0.25">
      <c r="A333" s="399"/>
      <c r="B333" s="399"/>
      <c r="C333" s="399"/>
      <c r="D333" s="399"/>
      <c r="E333" s="399"/>
      <c r="F333" s="400"/>
      <c r="G333" s="401"/>
      <c r="H333" s="402"/>
      <c r="I333" s="402"/>
      <c r="J333" s="403"/>
      <c r="K333" s="403"/>
      <c r="L333" s="403"/>
      <c r="M333" s="403"/>
      <c r="N333" s="403"/>
      <c r="O333" s="403"/>
      <c r="P333" s="403"/>
      <c r="Q333" s="403"/>
      <c r="R333" s="403"/>
      <c r="CD333" s="404"/>
      <c r="CG333" s="404"/>
      <c r="CI333" s="405"/>
      <c r="CJ333" s="405"/>
      <c r="CK333" s="405"/>
      <c r="CL333" s="405"/>
      <c r="CM333" s="405"/>
      <c r="CN333" s="406"/>
      <c r="CO333" s="405"/>
      <c r="CP333" s="405"/>
      <c r="CQ333" s="407"/>
      <c r="CR333" s="408"/>
      <c r="CS333" s="405"/>
      <c r="CT333" s="405"/>
      <c r="CU333" s="409"/>
      <c r="CV333" s="408"/>
      <c r="CW333" s="405"/>
      <c r="CX333" s="405"/>
      <c r="CY333" s="405"/>
      <c r="CZ333" s="408"/>
      <c r="DA333" s="405"/>
      <c r="DB333" s="405"/>
      <c r="DC333" s="405"/>
      <c r="DD333" s="408"/>
      <c r="DE333" s="405"/>
      <c r="DF333" s="405"/>
      <c r="DG333" s="405"/>
      <c r="DH333" s="408"/>
      <c r="DI333" s="405"/>
      <c r="DJ333" s="405"/>
      <c r="DK333" s="405"/>
      <c r="DL333" s="408"/>
      <c r="DM333" s="405"/>
      <c r="DN333" s="405"/>
      <c r="DO333" s="405"/>
    </row>
    <row r="334" ht="14.25" customHeight="1" spans="1:119" x14ac:dyDescent="0.25">
      <c r="A334" s="399"/>
      <c r="B334" s="399"/>
      <c r="C334" s="399"/>
      <c r="D334" s="399"/>
      <c r="E334" s="399"/>
      <c r="F334" s="400"/>
      <c r="G334" s="401"/>
      <c r="H334" s="402"/>
      <c r="I334" s="402"/>
      <c r="J334" s="403"/>
      <c r="K334" s="403"/>
      <c r="L334" s="403"/>
      <c r="M334" s="403"/>
      <c r="N334" s="403"/>
      <c r="O334" s="403"/>
      <c r="P334" s="403"/>
      <c r="Q334" s="403"/>
      <c r="R334" s="403"/>
      <c r="CD334" s="404"/>
      <c r="CG334" s="404"/>
      <c r="CI334" s="405"/>
      <c r="CJ334" s="405"/>
      <c r="CK334" s="405"/>
      <c r="CL334" s="405"/>
      <c r="CM334" s="405"/>
      <c r="CN334" s="406"/>
      <c r="CO334" s="405"/>
      <c r="CP334" s="405"/>
      <c r="CQ334" s="407"/>
      <c r="CR334" s="408"/>
      <c r="CS334" s="405"/>
      <c r="CT334" s="405"/>
      <c r="CU334" s="409"/>
      <c r="CV334" s="408"/>
      <c r="CW334" s="405"/>
      <c r="CX334" s="405"/>
      <c r="CY334" s="405"/>
      <c r="CZ334" s="408"/>
      <c r="DA334" s="405"/>
      <c r="DB334" s="405"/>
      <c r="DC334" s="405"/>
      <c r="DD334" s="408"/>
      <c r="DE334" s="405"/>
      <c r="DF334" s="405"/>
      <c r="DG334" s="405"/>
      <c r="DH334" s="408"/>
      <c r="DI334" s="405"/>
      <c r="DJ334" s="405"/>
      <c r="DK334" s="405"/>
      <c r="DL334" s="408"/>
      <c r="DM334" s="405"/>
      <c r="DN334" s="405"/>
      <c r="DO334" s="405"/>
    </row>
    <row r="335" ht="14.25" customHeight="1" spans="1:119" x14ac:dyDescent="0.25">
      <c r="A335" s="399"/>
      <c r="B335" s="399"/>
      <c r="C335" s="399"/>
      <c r="D335" s="399"/>
      <c r="E335" s="399"/>
      <c r="F335" s="400"/>
      <c r="G335" s="401"/>
      <c r="H335" s="402"/>
      <c r="I335" s="402"/>
      <c r="J335" s="403"/>
      <c r="K335" s="403"/>
      <c r="L335" s="403"/>
      <c r="M335" s="403"/>
      <c r="N335" s="403"/>
      <c r="O335" s="403"/>
      <c r="P335" s="403"/>
      <c r="Q335" s="403"/>
      <c r="R335" s="403"/>
      <c r="CD335" s="404"/>
      <c r="CG335" s="404"/>
      <c r="CI335" s="405"/>
      <c r="CJ335" s="405"/>
      <c r="CK335" s="405"/>
      <c r="CL335" s="405"/>
      <c r="CM335" s="405"/>
      <c r="CN335" s="406"/>
      <c r="CO335" s="405"/>
      <c r="CP335" s="405"/>
      <c r="CQ335" s="407"/>
      <c r="CR335" s="408"/>
      <c r="CS335" s="405"/>
      <c r="CT335" s="405"/>
      <c r="CU335" s="409"/>
      <c r="CV335" s="408"/>
      <c r="CW335" s="405"/>
      <c r="CX335" s="405"/>
      <c r="CY335" s="405"/>
      <c r="CZ335" s="408"/>
      <c r="DA335" s="405"/>
      <c r="DB335" s="405"/>
      <c r="DC335" s="405"/>
      <c r="DD335" s="408"/>
      <c r="DE335" s="405"/>
      <c r="DF335" s="405"/>
      <c r="DG335" s="405"/>
      <c r="DH335" s="408"/>
      <c r="DI335" s="405"/>
      <c r="DJ335" s="405"/>
      <c r="DK335" s="405"/>
      <c r="DL335" s="408"/>
      <c r="DM335" s="405"/>
      <c r="DN335" s="405"/>
      <c r="DO335" s="405"/>
    </row>
    <row r="336" ht="14.25" customHeight="1" spans="1:119" x14ac:dyDescent="0.25">
      <c r="A336" s="399"/>
      <c r="B336" s="399"/>
      <c r="C336" s="399"/>
      <c r="D336" s="399"/>
      <c r="E336" s="399"/>
      <c r="F336" s="400"/>
      <c r="G336" s="401"/>
      <c r="H336" s="402"/>
      <c r="I336" s="402"/>
      <c r="J336" s="403"/>
      <c r="K336" s="403"/>
      <c r="L336" s="403"/>
      <c r="M336" s="403"/>
      <c r="N336" s="403"/>
      <c r="O336" s="403"/>
      <c r="P336" s="403"/>
      <c r="Q336" s="403"/>
      <c r="R336" s="403"/>
      <c r="CD336" s="404"/>
      <c r="CG336" s="404"/>
      <c r="CI336" s="405"/>
      <c r="CJ336" s="405"/>
      <c r="CK336" s="405"/>
      <c r="CL336" s="405"/>
      <c r="CM336" s="405"/>
      <c r="CN336" s="406"/>
      <c r="CO336" s="405"/>
      <c r="CP336" s="405"/>
      <c r="CQ336" s="407"/>
      <c r="CR336" s="408"/>
      <c r="CS336" s="405"/>
      <c r="CT336" s="405"/>
      <c r="CU336" s="409"/>
      <c r="CV336" s="408"/>
      <c r="CW336" s="405"/>
      <c r="CX336" s="405"/>
      <c r="CY336" s="405"/>
      <c r="CZ336" s="408"/>
      <c r="DA336" s="405"/>
      <c r="DB336" s="405"/>
      <c r="DC336" s="405"/>
      <c r="DD336" s="408"/>
      <c r="DE336" s="405"/>
      <c r="DF336" s="405"/>
      <c r="DG336" s="405"/>
      <c r="DH336" s="408"/>
      <c r="DI336" s="405"/>
      <c r="DJ336" s="405"/>
      <c r="DK336" s="405"/>
      <c r="DL336" s="408"/>
      <c r="DM336" s="405"/>
      <c r="DN336" s="405"/>
      <c r="DO336" s="405"/>
    </row>
    <row r="337" ht="14.25" customHeight="1" spans="1:119" x14ac:dyDescent="0.25">
      <c r="A337" s="399"/>
      <c r="B337" s="399"/>
      <c r="C337" s="399"/>
      <c r="D337" s="399"/>
      <c r="E337" s="399"/>
      <c r="F337" s="400"/>
      <c r="G337" s="401"/>
      <c r="H337" s="402"/>
      <c r="I337" s="402"/>
      <c r="J337" s="403"/>
      <c r="K337" s="403"/>
      <c r="L337" s="403"/>
      <c r="M337" s="403"/>
      <c r="N337" s="403"/>
      <c r="O337" s="403"/>
      <c r="P337" s="403"/>
      <c r="Q337" s="403"/>
      <c r="R337" s="403"/>
      <c r="CD337" s="404"/>
      <c r="CG337" s="404"/>
      <c r="CI337" s="405"/>
      <c r="CJ337" s="405"/>
      <c r="CK337" s="405"/>
      <c r="CL337" s="405"/>
      <c r="CM337" s="405"/>
      <c r="CN337" s="406"/>
      <c r="CO337" s="405"/>
      <c r="CP337" s="405"/>
      <c r="CQ337" s="407"/>
      <c r="CR337" s="408"/>
      <c r="CS337" s="405"/>
      <c r="CT337" s="405"/>
      <c r="CU337" s="409"/>
      <c r="CV337" s="408"/>
      <c r="CW337" s="405"/>
      <c r="CX337" s="405"/>
      <c r="CY337" s="405"/>
      <c r="CZ337" s="408"/>
      <c r="DA337" s="405"/>
      <c r="DB337" s="405"/>
      <c r="DC337" s="405"/>
      <c r="DD337" s="408"/>
      <c r="DE337" s="405"/>
      <c r="DF337" s="405"/>
      <c r="DG337" s="405"/>
      <c r="DH337" s="408"/>
      <c r="DI337" s="405"/>
      <c r="DJ337" s="405"/>
      <c r="DK337" s="405"/>
      <c r="DL337" s="408"/>
      <c r="DM337" s="405"/>
      <c r="DN337" s="405"/>
      <c r="DO337" s="405"/>
    </row>
    <row r="338" ht="14.25" customHeight="1" spans="1:119" x14ac:dyDescent="0.25">
      <c r="A338" s="399"/>
      <c r="B338" s="399"/>
      <c r="C338" s="399"/>
      <c r="D338" s="399"/>
      <c r="E338" s="399"/>
      <c r="F338" s="400"/>
      <c r="G338" s="401"/>
      <c r="H338" s="402"/>
      <c r="I338" s="402"/>
      <c r="J338" s="403"/>
      <c r="K338" s="403"/>
      <c r="L338" s="403"/>
      <c r="M338" s="403"/>
      <c r="N338" s="403"/>
      <c r="O338" s="403"/>
      <c r="P338" s="403"/>
      <c r="Q338" s="403"/>
      <c r="R338" s="403"/>
      <c r="CD338" s="404"/>
      <c r="CG338" s="404"/>
      <c r="CI338" s="405"/>
      <c r="CJ338" s="405"/>
      <c r="CK338" s="405"/>
      <c r="CL338" s="405"/>
      <c r="CM338" s="405"/>
      <c r="CN338" s="406"/>
      <c r="CO338" s="405"/>
      <c r="CP338" s="405"/>
      <c r="CQ338" s="407"/>
      <c r="CR338" s="408"/>
      <c r="CS338" s="405"/>
      <c r="CT338" s="405"/>
      <c r="CU338" s="409"/>
      <c r="CV338" s="408"/>
      <c r="CW338" s="405"/>
      <c r="CX338" s="405"/>
      <c r="CY338" s="405"/>
      <c r="CZ338" s="408"/>
      <c r="DA338" s="405"/>
      <c r="DB338" s="405"/>
      <c r="DC338" s="405"/>
      <c r="DD338" s="408"/>
      <c r="DE338" s="405"/>
      <c r="DF338" s="405"/>
      <c r="DG338" s="405"/>
      <c r="DH338" s="408"/>
      <c r="DI338" s="405"/>
      <c r="DJ338" s="405"/>
      <c r="DK338" s="405"/>
      <c r="DL338" s="408"/>
      <c r="DM338" s="405"/>
      <c r="DN338" s="405"/>
      <c r="DO338" s="405"/>
    </row>
    <row r="339" ht="14.25" customHeight="1" spans="1:119" x14ac:dyDescent="0.25">
      <c r="A339" s="399"/>
      <c r="B339" s="399"/>
      <c r="C339" s="399"/>
      <c r="D339" s="399"/>
      <c r="E339" s="399"/>
      <c r="F339" s="400"/>
      <c r="G339" s="401"/>
      <c r="H339" s="402"/>
      <c r="I339" s="402"/>
      <c r="J339" s="403"/>
      <c r="K339" s="403"/>
      <c r="L339" s="403"/>
      <c r="M339" s="403"/>
      <c r="N339" s="403"/>
      <c r="O339" s="403"/>
      <c r="P339" s="403"/>
      <c r="Q339" s="403"/>
      <c r="R339" s="403"/>
      <c r="CD339" s="404"/>
      <c r="CG339" s="404"/>
      <c r="CI339" s="405"/>
      <c r="CJ339" s="405"/>
      <c r="CK339" s="405"/>
      <c r="CL339" s="405"/>
      <c r="CM339" s="405"/>
      <c r="CN339" s="406"/>
      <c r="CO339" s="405"/>
      <c r="CP339" s="405"/>
      <c r="CQ339" s="407"/>
      <c r="CR339" s="408"/>
      <c r="CS339" s="405"/>
      <c r="CT339" s="405"/>
      <c r="CU339" s="409"/>
      <c r="CV339" s="408"/>
      <c r="CW339" s="405"/>
      <c r="CX339" s="405"/>
      <c r="CY339" s="405"/>
      <c r="CZ339" s="408"/>
      <c r="DA339" s="405"/>
      <c r="DB339" s="405"/>
      <c r="DC339" s="405"/>
      <c r="DD339" s="408"/>
      <c r="DE339" s="405"/>
      <c r="DF339" s="405"/>
      <c r="DG339" s="405"/>
      <c r="DH339" s="408"/>
      <c r="DI339" s="405"/>
      <c r="DJ339" s="405"/>
      <c r="DK339" s="405"/>
      <c r="DL339" s="408"/>
      <c r="DM339" s="405"/>
      <c r="DN339" s="405"/>
      <c r="DO339" s="405"/>
    </row>
    <row r="340" ht="14.25" customHeight="1" spans="1:119" x14ac:dyDescent="0.25">
      <c r="A340" s="399"/>
      <c r="B340" s="399"/>
      <c r="C340" s="399"/>
      <c r="D340" s="399"/>
      <c r="E340" s="399"/>
      <c r="F340" s="400"/>
      <c r="G340" s="401"/>
      <c r="H340" s="402"/>
      <c r="I340" s="402"/>
      <c r="J340" s="403"/>
      <c r="K340" s="403"/>
      <c r="L340" s="403"/>
      <c r="M340" s="403"/>
      <c r="N340" s="403"/>
      <c r="O340" s="403"/>
      <c r="P340" s="403"/>
      <c r="Q340" s="403"/>
      <c r="R340" s="403"/>
      <c r="CD340" s="404"/>
      <c r="CG340" s="404"/>
      <c r="CI340" s="405"/>
      <c r="CJ340" s="405"/>
      <c r="CK340" s="405"/>
      <c r="CL340" s="405"/>
      <c r="CM340" s="405"/>
      <c r="CN340" s="406"/>
      <c r="CO340" s="405"/>
      <c r="CP340" s="405"/>
      <c r="CQ340" s="407"/>
      <c r="CR340" s="408"/>
      <c r="CS340" s="405"/>
      <c r="CT340" s="405"/>
      <c r="CU340" s="409"/>
      <c r="CV340" s="408"/>
      <c r="CW340" s="405"/>
      <c r="CX340" s="405"/>
      <c r="CY340" s="405"/>
      <c r="CZ340" s="408"/>
      <c r="DA340" s="405"/>
      <c r="DB340" s="405"/>
      <c r="DC340" s="405"/>
      <c r="DD340" s="408"/>
      <c r="DE340" s="405"/>
      <c r="DF340" s="405"/>
      <c r="DG340" s="405"/>
      <c r="DH340" s="408"/>
      <c r="DI340" s="405"/>
      <c r="DJ340" s="405"/>
      <c r="DK340" s="405"/>
      <c r="DL340" s="408"/>
      <c r="DM340" s="405"/>
      <c r="DN340" s="405"/>
      <c r="DO340" s="405"/>
    </row>
    <row r="341" ht="14.25" customHeight="1" spans="1:119" x14ac:dyDescent="0.25">
      <c r="A341" s="399"/>
      <c r="B341" s="399"/>
      <c r="C341" s="399"/>
      <c r="D341" s="399"/>
      <c r="E341" s="399"/>
      <c r="F341" s="400"/>
      <c r="G341" s="401"/>
      <c r="H341" s="402"/>
      <c r="I341" s="402"/>
      <c r="J341" s="403"/>
      <c r="K341" s="403"/>
      <c r="L341" s="403"/>
      <c r="M341" s="403"/>
      <c r="N341" s="403"/>
      <c r="O341" s="403"/>
      <c r="P341" s="403"/>
      <c r="Q341" s="403"/>
      <c r="R341" s="403"/>
      <c r="CD341" s="404"/>
      <c r="CG341" s="404"/>
      <c r="CI341" s="405"/>
      <c r="CJ341" s="405"/>
      <c r="CK341" s="405"/>
      <c r="CL341" s="405"/>
      <c r="CM341" s="405"/>
      <c r="CN341" s="406"/>
      <c r="CO341" s="405"/>
      <c r="CP341" s="405"/>
      <c r="CQ341" s="407"/>
      <c r="CR341" s="408"/>
      <c r="CS341" s="405"/>
      <c r="CT341" s="405"/>
      <c r="CU341" s="409"/>
      <c r="CV341" s="408"/>
      <c r="CW341" s="405"/>
      <c r="CX341" s="405"/>
      <c r="CY341" s="405"/>
      <c r="CZ341" s="408"/>
      <c r="DA341" s="405"/>
      <c r="DB341" s="405"/>
      <c r="DC341" s="405"/>
      <c r="DD341" s="408"/>
      <c r="DE341" s="405"/>
      <c r="DF341" s="405"/>
      <c r="DG341" s="405"/>
      <c r="DH341" s="408"/>
      <c r="DI341" s="405"/>
      <c r="DJ341" s="405"/>
      <c r="DK341" s="405"/>
      <c r="DL341" s="408"/>
      <c r="DM341" s="405"/>
      <c r="DN341" s="405"/>
      <c r="DO341" s="405"/>
    </row>
    <row r="342" ht="14.25" customHeight="1" spans="1:119" x14ac:dyDescent="0.25">
      <c r="A342" s="399"/>
      <c r="B342" s="399"/>
      <c r="C342" s="399"/>
      <c r="D342" s="399"/>
      <c r="E342" s="399"/>
      <c r="F342" s="400"/>
      <c r="G342" s="401"/>
      <c r="H342" s="402"/>
      <c r="I342" s="402"/>
      <c r="J342" s="403"/>
      <c r="K342" s="403"/>
      <c r="L342" s="403"/>
      <c r="M342" s="403"/>
      <c r="N342" s="403"/>
      <c r="O342" s="403"/>
      <c r="P342" s="403"/>
      <c r="Q342" s="403"/>
      <c r="R342" s="403"/>
      <c r="CD342" s="404"/>
      <c r="CG342" s="404"/>
      <c r="CI342" s="405"/>
      <c r="CJ342" s="405"/>
      <c r="CK342" s="405"/>
      <c r="CL342" s="405"/>
      <c r="CM342" s="405"/>
      <c r="CN342" s="406"/>
      <c r="CO342" s="405"/>
      <c r="CP342" s="405"/>
      <c r="CQ342" s="407"/>
      <c r="CR342" s="408"/>
      <c r="CS342" s="405"/>
      <c r="CT342" s="405"/>
      <c r="CU342" s="409"/>
      <c r="CV342" s="408"/>
      <c r="CW342" s="405"/>
      <c r="CX342" s="405"/>
      <c r="CY342" s="405"/>
      <c r="CZ342" s="408"/>
      <c r="DA342" s="405"/>
      <c r="DB342" s="405"/>
      <c r="DC342" s="405"/>
      <c r="DD342" s="408"/>
      <c r="DE342" s="405"/>
      <c r="DF342" s="405"/>
      <c r="DG342" s="405"/>
      <c r="DH342" s="408"/>
      <c r="DI342" s="405"/>
      <c r="DJ342" s="405"/>
      <c r="DK342" s="405"/>
      <c r="DL342" s="408"/>
      <c r="DM342" s="405"/>
      <c r="DN342" s="405"/>
      <c r="DO342" s="405"/>
    </row>
    <row r="343" ht="14.25" customHeight="1" spans="1:119" x14ac:dyDescent="0.25">
      <c r="A343" s="399"/>
      <c r="B343" s="399"/>
      <c r="C343" s="399"/>
      <c r="D343" s="399"/>
      <c r="E343" s="399"/>
      <c r="F343" s="400"/>
      <c r="G343" s="401"/>
      <c r="H343" s="402"/>
      <c r="I343" s="402"/>
      <c r="J343" s="403"/>
      <c r="K343" s="403"/>
      <c r="L343" s="403"/>
      <c r="M343" s="403"/>
      <c r="N343" s="403"/>
      <c r="O343" s="403"/>
      <c r="P343" s="403"/>
      <c r="Q343" s="403"/>
      <c r="R343" s="403"/>
      <c r="CD343" s="404"/>
      <c r="CG343" s="404"/>
      <c r="CI343" s="405"/>
      <c r="CJ343" s="405"/>
      <c r="CK343" s="405"/>
      <c r="CL343" s="405"/>
      <c r="CM343" s="405"/>
      <c r="CN343" s="406"/>
      <c r="CO343" s="405"/>
      <c r="CP343" s="405"/>
      <c r="CQ343" s="407"/>
      <c r="CR343" s="408"/>
      <c r="CS343" s="405"/>
      <c r="CT343" s="405"/>
      <c r="CU343" s="409"/>
      <c r="CV343" s="408"/>
      <c r="CW343" s="405"/>
      <c r="CX343" s="405"/>
      <c r="CY343" s="405"/>
      <c r="CZ343" s="408"/>
      <c r="DA343" s="405"/>
      <c r="DB343" s="405"/>
      <c r="DC343" s="405"/>
      <c r="DD343" s="408"/>
      <c r="DE343" s="405"/>
      <c r="DF343" s="405"/>
      <c r="DG343" s="405"/>
      <c r="DH343" s="408"/>
      <c r="DI343" s="405"/>
      <c r="DJ343" s="405"/>
      <c r="DK343" s="405"/>
      <c r="DL343" s="408"/>
      <c r="DM343" s="405"/>
      <c r="DN343" s="405"/>
      <c r="DO343" s="405"/>
    </row>
    <row r="344" ht="14.25" customHeight="1" spans="1:119" x14ac:dyDescent="0.25">
      <c r="A344" s="399"/>
      <c r="B344" s="399"/>
      <c r="C344" s="399"/>
      <c r="D344" s="399"/>
      <c r="E344" s="399"/>
      <c r="F344" s="400"/>
      <c r="G344" s="401"/>
      <c r="H344" s="402"/>
      <c r="I344" s="402"/>
      <c r="J344" s="403"/>
      <c r="K344" s="403"/>
      <c r="L344" s="403"/>
      <c r="M344" s="403"/>
      <c r="N344" s="403"/>
      <c r="O344" s="403"/>
      <c r="P344" s="403"/>
      <c r="Q344" s="403"/>
      <c r="R344" s="403"/>
      <c r="CD344" s="404"/>
      <c r="CG344" s="404"/>
      <c r="CI344" s="405"/>
      <c r="CJ344" s="405"/>
      <c r="CK344" s="405"/>
      <c r="CL344" s="405"/>
      <c r="CM344" s="405"/>
      <c r="CN344" s="406"/>
      <c r="CO344" s="405"/>
      <c r="CP344" s="405"/>
      <c r="CQ344" s="407"/>
      <c r="CR344" s="408"/>
      <c r="CS344" s="405"/>
      <c r="CT344" s="405"/>
      <c r="CU344" s="409"/>
      <c r="CV344" s="408"/>
      <c r="CW344" s="405"/>
      <c r="CX344" s="405"/>
      <c r="CY344" s="405"/>
      <c r="CZ344" s="408"/>
      <c r="DA344" s="405"/>
      <c r="DB344" s="405"/>
      <c r="DC344" s="405"/>
      <c r="DD344" s="408"/>
      <c r="DE344" s="405"/>
      <c r="DF344" s="405"/>
      <c r="DG344" s="405"/>
      <c r="DH344" s="408"/>
      <c r="DI344" s="405"/>
      <c r="DJ344" s="405"/>
      <c r="DK344" s="405"/>
      <c r="DL344" s="408"/>
      <c r="DM344" s="405"/>
      <c r="DN344" s="405"/>
      <c r="DO344" s="405"/>
    </row>
    <row r="345" ht="14.25" customHeight="1" spans="1:119" x14ac:dyDescent="0.25">
      <c r="A345" s="399"/>
      <c r="B345" s="399"/>
      <c r="C345" s="399"/>
      <c r="D345" s="399"/>
      <c r="E345" s="399"/>
      <c r="F345" s="400"/>
      <c r="G345" s="401"/>
      <c r="H345" s="402"/>
      <c r="I345" s="402"/>
      <c r="J345" s="403"/>
      <c r="K345" s="403"/>
      <c r="L345" s="403"/>
      <c r="M345" s="403"/>
      <c r="N345" s="403"/>
      <c r="O345" s="403"/>
      <c r="P345" s="403"/>
      <c r="Q345" s="403"/>
      <c r="R345" s="403"/>
      <c r="CD345" s="404"/>
      <c r="CG345" s="404"/>
      <c r="CI345" s="405"/>
      <c r="CJ345" s="405"/>
      <c r="CK345" s="405"/>
      <c r="CL345" s="405"/>
      <c r="CM345" s="405"/>
      <c r="CN345" s="406"/>
      <c r="CO345" s="405"/>
      <c r="CP345" s="405"/>
      <c r="CQ345" s="407"/>
      <c r="CR345" s="408"/>
      <c r="CS345" s="405"/>
      <c r="CT345" s="405"/>
      <c r="CU345" s="409"/>
      <c r="CV345" s="408"/>
      <c r="CW345" s="405"/>
      <c r="CX345" s="405"/>
      <c r="CY345" s="405"/>
      <c r="CZ345" s="408"/>
      <c r="DA345" s="405"/>
      <c r="DB345" s="405"/>
      <c r="DC345" s="405"/>
      <c r="DD345" s="408"/>
      <c r="DE345" s="405"/>
      <c r="DF345" s="405"/>
      <c r="DG345" s="405"/>
      <c r="DH345" s="408"/>
      <c r="DI345" s="405"/>
      <c r="DJ345" s="405"/>
      <c r="DK345" s="405"/>
      <c r="DL345" s="408"/>
      <c r="DM345" s="405"/>
      <c r="DN345" s="405"/>
      <c r="DO345" s="405"/>
    </row>
    <row r="346" ht="14.25" customHeight="1" spans="1:119" x14ac:dyDescent="0.25">
      <c r="A346" s="399"/>
      <c r="B346" s="399"/>
      <c r="C346" s="399"/>
      <c r="D346" s="399"/>
      <c r="E346" s="399"/>
      <c r="F346" s="400"/>
      <c r="G346" s="401"/>
      <c r="H346" s="402"/>
      <c r="I346" s="402"/>
      <c r="J346" s="403"/>
      <c r="K346" s="403"/>
      <c r="L346" s="403"/>
      <c r="M346" s="403"/>
      <c r="N346" s="403"/>
      <c r="O346" s="403"/>
      <c r="P346" s="403"/>
      <c r="Q346" s="403"/>
      <c r="R346" s="403"/>
      <c r="CD346" s="404"/>
      <c r="CG346" s="404"/>
      <c r="CI346" s="405"/>
      <c r="CJ346" s="405"/>
      <c r="CK346" s="405"/>
      <c r="CL346" s="405"/>
      <c r="CM346" s="405"/>
      <c r="CN346" s="406"/>
      <c r="CO346" s="405"/>
      <c r="CP346" s="405"/>
      <c r="CQ346" s="407"/>
      <c r="CR346" s="408"/>
      <c r="CS346" s="405"/>
      <c r="CT346" s="405"/>
      <c r="CU346" s="409"/>
      <c r="CV346" s="408"/>
      <c r="CW346" s="405"/>
      <c r="CX346" s="405"/>
      <c r="CY346" s="405"/>
      <c r="CZ346" s="408"/>
      <c r="DA346" s="405"/>
      <c r="DB346" s="405"/>
      <c r="DC346" s="405"/>
      <c r="DD346" s="408"/>
      <c r="DE346" s="405"/>
      <c r="DF346" s="405"/>
      <c r="DG346" s="405"/>
      <c r="DH346" s="408"/>
      <c r="DI346" s="405"/>
      <c r="DJ346" s="405"/>
      <c r="DK346" s="405"/>
      <c r="DL346" s="408"/>
      <c r="DM346" s="405"/>
      <c r="DN346" s="405"/>
      <c r="DO346" s="405"/>
    </row>
    <row r="347" ht="14.25" customHeight="1" spans="1:119" x14ac:dyDescent="0.25">
      <c r="A347" s="399"/>
      <c r="B347" s="399"/>
      <c r="C347" s="399"/>
      <c r="D347" s="399"/>
      <c r="E347" s="399"/>
      <c r="F347" s="400"/>
      <c r="G347" s="401"/>
      <c r="H347" s="402"/>
      <c r="I347" s="402"/>
      <c r="J347" s="403"/>
      <c r="K347" s="403"/>
      <c r="L347" s="403"/>
      <c r="M347" s="403"/>
      <c r="N347" s="403"/>
      <c r="O347" s="403"/>
      <c r="P347" s="403"/>
      <c r="Q347" s="403"/>
      <c r="R347" s="403"/>
      <c r="CD347" s="404"/>
      <c r="CG347" s="404"/>
      <c r="CI347" s="405"/>
      <c r="CJ347" s="405"/>
      <c r="CK347" s="405"/>
      <c r="CL347" s="405"/>
      <c r="CM347" s="405"/>
      <c r="CN347" s="406"/>
      <c r="CO347" s="405"/>
      <c r="CP347" s="405"/>
      <c r="CQ347" s="407"/>
      <c r="CR347" s="408"/>
      <c r="CS347" s="405"/>
      <c r="CT347" s="405"/>
      <c r="CU347" s="409"/>
      <c r="CV347" s="408"/>
      <c r="CW347" s="405"/>
      <c r="CX347" s="405"/>
      <c r="CY347" s="405"/>
      <c r="CZ347" s="408"/>
      <c r="DA347" s="405"/>
      <c r="DB347" s="405"/>
      <c r="DC347" s="405"/>
      <c r="DD347" s="408"/>
      <c r="DE347" s="405"/>
      <c r="DF347" s="405"/>
      <c r="DG347" s="405"/>
      <c r="DH347" s="408"/>
      <c r="DI347" s="405"/>
      <c r="DJ347" s="405"/>
      <c r="DK347" s="405"/>
      <c r="DL347" s="408"/>
      <c r="DM347" s="405"/>
      <c r="DN347" s="405"/>
      <c r="DO347" s="405"/>
    </row>
    <row r="348" ht="14.25" customHeight="1" spans="1:119" x14ac:dyDescent="0.25">
      <c r="A348" s="399"/>
      <c r="B348" s="399"/>
      <c r="C348" s="399"/>
      <c r="D348" s="399"/>
      <c r="E348" s="399"/>
      <c r="F348" s="400"/>
      <c r="G348" s="401"/>
      <c r="H348" s="402"/>
      <c r="I348" s="402"/>
      <c r="J348" s="403"/>
      <c r="K348" s="403"/>
      <c r="L348" s="403"/>
      <c r="M348" s="403"/>
      <c r="N348" s="403"/>
      <c r="O348" s="403"/>
      <c r="P348" s="403"/>
      <c r="Q348" s="403"/>
      <c r="R348" s="403"/>
      <c r="CD348" s="404"/>
      <c r="CG348" s="404"/>
      <c r="CI348" s="405"/>
      <c r="CJ348" s="405"/>
      <c r="CK348" s="405"/>
      <c r="CL348" s="405"/>
      <c r="CM348" s="405"/>
      <c r="CN348" s="406"/>
      <c r="CO348" s="405"/>
      <c r="CP348" s="405"/>
      <c r="CQ348" s="407"/>
      <c r="CR348" s="408"/>
      <c r="CS348" s="405"/>
      <c r="CT348" s="405"/>
      <c r="CU348" s="409"/>
      <c r="CV348" s="408"/>
      <c r="CW348" s="405"/>
      <c r="CX348" s="405"/>
      <c r="CY348" s="405"/>
      <c r="CZ348" s="408"/>
      <c r="DA348" s="405"/>
      <c r="DB348" s="405"/>
      <c r="DC348" s="405"/>
      <c r="DD348" s="408"/>
      <c r="DE348" s="405"/>
      <c r="DF348" s="405"/>
      <c r="DG348" s="405"/>
      <c r="DH348" s="408"/>
      <c r="DI348" s="405"/>
      <c r="DJ348" s="405"/>
      <c r="DK348" s="405"/>
      <c r="DL348" s="408"/>
      <c r="DM348" s="405"/>
      <c r="DN348" s="405"/>
      <c r="DO348" s="405"/>
    </row>
    <row r="349" ht="14.25" customHeight="1" spans="1:119" x14ac:dyDescent="0.25">
      <c r="A349" s="399"/>
      <c r="B349" s="399"/>
      <c r="C349" s="399"/>
      <c r="D349" s="399"/>
      <c r="E349" s="399"/>
      <c r="F349" s="400"/>
      <c r="G349" s="401"/>
      <c r="H349" s="402"/>
      <c r="I349" s="402"/>
      <c r="J349" s="403"/>
      <c r="K349" s="403"/>
      <c r="L349" s="403"/>
      <c r="M349" s="403"/>
      <c r="N349" s="403"/>
      <c r="O349" s="403"/>
      <c r="P349" s="403"/>
      <c r="Q349" s="403"/>
      <c r="R349" s="403"/>
      <c r="CD349" s="404"/>
      <c r="CG349" s="404"/>
      <c r="CI349" s="405"/>
      <c r="CJ349" s="405"/>
      <c r="CK349" s="405"/>
      <c r="CL349" s="405"/>
      <c r="CM349" s="405"/>
      <c r="CN349" s="406"/>
      <c r="CO349" s="405"/>
      <c r="CP349" s="405"/>
      <c r="CQ349" s="407"/>
      <c r="CR349" s="408"/>
      <c r="CS349" s="405"/>
      <c r="CT349" s="405"/>
      <c r="CU349" s="409"/>
      <c r="CV349" s="408"/>
      <c r="CW349" s="405"/>
      <c r="CX349" s="405"/>
      <c r="CY349" s="405"/>
      <c r="CZ349" s="408"/>
      <c r="DA349" s="405"/>
      <c r="DB349" s="405"/>
      <c r="DC349" s="405"/>
      <c r="DD349" s="408"/>
      <c r="DE349" s="405"/>
      <c r="DF349" s="405"/>
      <c r="DG349" s="405"/>
      <c r="DH349" s="408"/>
      <c r="DI349" s="405"/>
      <c r="DJ349" s="405"/>
      <c r="DK349" s="405"/>
      <c r="DL349" s="408"/>
      <c r="DM349" s="405"/>
      <c r="DN349" s="405"/>
      <c r="DO349" s="405"/>
    </row>
    <row r="350" ht="14.25" customHeight="1" spans="1:119" x14ac:dyDescent="0.25">
      <c r="A350" s="399"/>
      <c r="B350" s="399"/>
      <c r="C350" s="399"/>
      <c r="D350" s="399"/>
      <c r="E350" s="399"/>
      <c r="F350" s="400"/>
      <c r="G350" s="401"/>
      <c r="H350" s="402"/>
      <c r="I350" s="402"/>
      <c r="J350" s="403"/>
      <c r="K350" s="403"/>
      <c r="L350" s="403"/>
      <c r="M350" s="403"/>
      <c r="N350" s="403"/>
      <c r="O350" s="403"/>
      <c r="P350" s="403"/>
      <c r="Q350" s="403"/>
      <c r="R350" s="403"/>
      <c r="CD350" s="404"/>
      <c r="CG350" s="404"/>
      <c r="CI350" s="405"/>
      <c r="CJ350" s="405"/>
      <c r="CK350" s="405"/>
      <c r="CL350" s="405"/>
      <c r="CM350" s="405"/>
      <c r="CN350" s="406"/>
      <c r="CO350" s="405"/>
      <c r="CP350" s="405"/>
      <c r="CQ350" s="407"/>
      <c r="CR350" s="408"/>
      <c r="CS350" s="405"/>
      <c r="CT350" s="405"/>
      <c r="CU350" s="409"/>
      <c r="CV350" s="408"/>
      <c r="CW350" s="405"/>
      <c r="CX350" s="405"/>
      <c r="CY350" s="405"/>
      <c r="CZ350" s="408"/>
      <c r="DA350" s="405"/>
      <c r="DB350" s="405"/>
      <c r="DC350" s="405"/>
      <c r="DD350" s="408"/>
      <c r="DE350" s="405"/>
      <c r="DF350" s="405"/>
      <c r="DG350" s="405"/>
      <c r="DH350" s="408"/>
      <c r="DI350" s="405"/>
      <c r="DJ350" s="405"/>
      <c r="DK350" s="405"/>
      <c r="DL350" s="408"/>
      <c r="DM350" s="405"/>
      <c r="DN350" s="405"/>
      <c r="DO350" s="405"/>
    </row>
    <row r="351" ht="14.25" customHeight="1" spans="1:119" x14ac:dyDescent="0.25">
      <c r="A351" s="399"/>
      <c r="B351" s="399"/>
      <c r="C351" s="399"/>
      <c r="D351" s="399"/>
      <c r="E351" s="399"/>
      <c r="F351" s="400"/>
      <c r="G351" s="401"/>
      <c r="H351" s="402"/>
      <c r="I351" s="402"/>
      <c r="J351" s="403"/>
      <c r="K351" s="403"/>
      <c r="L351" s="403"/>
      <c r="M351" s="403"/>
      <c r="N351" s="403"/>
      <c r="O351" s="403"/>
      <c r="P351" s="403"/>
      <c r="Q351" s="403"/>
      <c r="R351" s="403"/>
      <c r="CD351" s="404"/>
      <c r="CG351" s="404"/>
      <c r="CI351" s="405"/>
      <c r="CJ351" s="405"/>
      <c r="CK351" s="405"/>
      <c r="CL351" s="405"/>
      <c r="CM351" s="405"/>
      <c r="CN351" s="406"/>
      <c r="CO351" s="405"/>
      <c r="CP351" s="405"/>
      <c r="CQ351" s="407"/>
      <c r="CR351" s="408"/>
      <c r="CS351" s="405"/>
      <c r="CT351" s="405"/>
      <c r="CU351" s="409"/>
      <c r="CV351" s="408"/>
      <c r="CW351" s="405"/>
      <c r="CX351" s="405"/>
      <c r="CY351" s="405"/>
      <c r="CZ351" s="408"/>
      <c r="DA351" s="405"/>
      <c r="DB351" s="405"/>
      <c r="DC351" s="405"/>
      <c r="DD351" s="408"/>
      <c r="DE351" s="405"/>
      <c r="DF351" s="405"/>
      <c r="DG351" s="405"/>
      <c r="DH351" s="408"/>
      <c r="DI351" s="405"/>
      <c r="DJ351" s="405"/>
      <c r="DK351" s="405"/>
      <c r="DL351" s="408"/>
      <c r="DM351" s="405"/>
      <c r="DN351" s="405"/>
      <c r="DO351" s="405"/>
    </row>
    <row r="352" ht="14.25" customHeight="1" spans="1:119" x14ac:dyDescent="0.25">
      <c r="A352" s="399"/>
      <c r="B352" s="399"/>
      <c r="C352" s="399"/>
      <c r="D352" s="399"/>
      <c r="E352" s="399"/>
      <c r="F352" s="400"/>
      <c r="G352" s="401"/>
      <c r="H352" s="402"/>
      <c r="I352" s="402"/>
      <c r="J352" s="403"/>
      <c r="K352" s="403"/>
      <c r="L352" s="403"/>
      <c r="M352" s="403"/>
      <c r="N352" s="403"/>
      <c r="O352" s="403"/>
      <c r="P352" s="403"/>
      <c r="Q352" s="403"/>
      <c r="R352" s="403"/>
      <c r="CD352" s="404"/>
      <c r="CG352" s="404"/>
      <c r="CI352" s="405"/>
      <c r="CJ352" s="405"/>
      <c r="CK352" s="405"/>
      <c r="CL352" s="405"/>
      <c r="CM352" s="405"/>
      <c r="CN352" s="406"/>
      <c r="CO352" s="405"/>
      <c r="CP352" s="405"/>
      <c r="CQ352" s="407"/>
      <c r="CR352" s="408"/>
      <c r="CS352" s="405"/>
      <c r="CT352" s="405"/>
      <c r="CU352" s="409"/>
      <c r="CV352" s="408"/>
      <c r="CW352" s="405"/>
      <c r="CX352" s="405"/>
      <c r="CY352" s="405"/>
      <c r="CZ352" s="408"/>
      <c r="DA352" s="405"/>
      <c r="DB352" s="405"/>
      <c r="DC352" s="405"/>
      <c r="DD352" s="408"/>
      <c r="DE352" s="405"/>
      <c r="DF352" s="405"/>
      <c r="DG352" s="405"/>
      <c r="DH352" s="408"/>
      <c r="DI352" s="405"/>
      <c r="DJ352" s="405"/>
      <c r="DK352" s="405"/>
      <c r="DL352" s="408"/>
      <c r="DM352" s="405"/>
      <c r="DN352" s="405"/>
      <c r="DO352" s="405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863</v>
      </c>
      <c r="B1" s="146" t="s">
        <v>864</v>
      </c>
      <c r="C1" s="146" t="s">
        <v>866</v>
      </c>
      <c r="D1" s="147" t="s">
        <v>867</v>
      </c>
      <c r="E1" s="146" t="s">
        <v>868</v>
      </c>
      <c r="F1" s="146" t="s">
        <v>1225</v>
      </c>
      <c r="G1" s="146" t="s">
        <v>1226</v>
      </c>
      <c r="H1" s="146" t="s">
        <v>1227</v>
      </c>
      <c r="I1" s="146" t="s">
        <v>1228</v>
      </c>
      <c r="J1" s="148" t="s">
        <v>1229</v>
      </c>
      <c r="K1" s="149" t="s">
        <v>1230</v>
      </c>
      <c r="L1" s="150" t="s">
        <v>1231</v>
      </c>
      <c r="M1" s="149" t="s">
        <v>1232</v>
      </c>
      <c r="N1" s="150" t="s">
        <v>1233</v>
      </c>
      <c r="O1" s="149" t="s">
        <v>1234</v>
      </c>
      <c r="P1" s="150" t="s">
        <v>1235</v>
      </c>
      <c r="Q1" s="149" t="s">
        <v>1236</v>
      </c>
      <c r="R1" s="150" t="s">
        <v>1237</v>
      </c>
      <c r="S1" s="149" t="s">
        <v>1238</v>
      </c>
      <c r="T1" s="150" t="s">
        <v>1239</v>
      </c>
      <c r="U1" s="149" t="s">
        <v>1240</v>
      </c>
      <c r="V1" s="150" t="s">
        <v>1241</v>
      </c>
      <c r="W1" s="149" t="s">
        <v>1242</v>
      </c>
      <c r="X1" s="150" t="s">
        <v>1243</v>
      </c>
      <c r="Y1" s="149" t="s">
        <v>1244</v>
      </c>
      <c r="Z1" s="150" t="s">
        <v>1245</v>
      </c>
      <c r="AA1" s="149" t="s">
        <v>1246</v>
      </c>
      <c r="AB1" s="150" t="s">
        <v>1247</v>
      </c>
      <c r="AC1" s="149" t="s">
        <v>1248</v>
      </c>
      <c r="AD1" s="150" t="s">
        <v>1249</v>
      </c>
      <c r="AE1" s="149" t="s">
        <v>1250</v>
      </c>
      <c r="AF1" s="150" t="s">
        <v>1251</v>
      </c>
      <c r="AG1" s="149" t="s">
        <v>1252</v>
      </c>
      <c r="AH1" s="150" t="s">
        <v>1253</v>
      </c>
      <c r="AI1" s="149" t="s">
        <v>1254</v>
      </c>
      <c r="AJ1" s="150" t="s">
        <v>1255</v>
      </c>
      <c r="AK1" s="149" t="s">
        <v>1232</v>
      </c>
      <c r="AL1" s="150" t="s">
        <v>1256</v>
      </c>
      <c r="AM1" s="149" t="s">
        <v>1234</v>
      </c>
      <c r="AN1" s="150" t="s">
        <v>1257</v>
      </c>
      <c r="AO1" s="149" t="s">
        <v>1236</v>
      </c>
      <c r="AP1" s="150" t="s">
        <v>1258</v>
      </c>
      <c r="AQ1" s="151" t="s">
        <v>1238</v>
      </c>
      <c r="AR1" s="152" t="s">
        <v>1259</v>
      </c>
      <c r="AS1" s="151" t="s">
        <v>1240</v>
      </c>
      <c r="AT1" s="152" t="s">
        <v>1260</v>
      </c>
      <c r="AU1" s="151" t="s">
        <v>1242</v>
      </c>
      <c r="AV1" s="152" t="s">
        <v>1261</v>
      </c>
      <c r="AW1" s="151" t="s">
        <v>1244</v>
      </c>
      <c r="AX1" s="152" t="s">
        <v>1262</v>
      </c>
      <c r="AY1" s="151" t="s">
        <v>1246</v>
      </c>
      <c r="AZ1" s="152" t="s">
        <v>1263</v>
      </c>
      <c r="BA1" s="151" t="s">
        <v>1248</v>
      </c>
      <c r="BB1" s="152" t="s">
        <v>1264</v>
      </c>
      <c r="BC1" s="151" t="s">
        <v>1250</v>
      </c>
      <c r="BD1" s="152" t="s">
        <v>1265</v>
      </c>
      <c r="BE1" s="151" t="s">
        <v>1252</v>
      </c>
      <c r="BF1" s="152" t="s">
        <v>1266</v>
      </c>
      <c r="BG1" s="151" t="s">
        <v>1230</v>
      </c>
      <c r="BH1" s="152" t="s">
        <v>1267</v>
      </c>
      <c r="BI1" s="151" t="s">
        <v>1232</v>
      </c>
      <c r="BJ1" s="152" t="s">
        <v>1268</v>
      </c>
      <c r="BK1" s="151" t="s">
        <v>1234</v>
      </c>
      <c r="BL1" s="152" t="s">
        <v>1269</v>
      </c>
      <c r="BM1" s="151" t="s">
        <v>1236</v>
      </c>
      <c r="BN1" s="152" t="s">
        <v>1270</v>
      </c>
      <c r="BO1" s="151" t="s">
        <v>1238</v>
      </c>
      <c r="BP1" s="152" t="s">
        <v>1271</v>
      </c>
      <c r="BQ1" s="151" t="s">
        <v>1240</v>
      </c>
      <c r="BR1" s="152" t="s">
        <v>1272</v>
      </c>
      <c r="BS1" s="151" t="s">
        <v>1242</v>
      </c>
      <c r="BT1" s="152" t="s">
        <v>1273</v>
      </c>
      <c r="BU1" s="153" t="s">
        <v>1274</v>
      </c>
      <c r="BV1" s="152" t="s">
        <v>1275</v>
      </c>
      <c r="BW1" s="153" t="s">
        <v>1276</v>
      </c>
      <c r="BX1" s="152" t="s">
        <v>1277</v>
      </c>
      <c r="BY1" s="153" t="s">
        <v>1278</v>
      </c>
      <c r="BZ1" s="152" t="s">
        <v>1279</v>
      </c>
      <c r="CA1" s="154" t="s">
        <v>1280</v>
      </c>
      <c r="CB1" s="152" t="s">
        <v>1281</v>
      </c>
      <c r="CC1" s="154" t="s">
        <v>1252</v>
      </c>
      <c r="CD1" s="155" t="s">
        <v>1282</v>
      </c>
      <c r="CE1" s="156" t="s">
        <v>1283</v>
      </c>
      <c r="CF1" s="410" t="s">
        <v>1284</v>
      </c>
      <c r="CG1" s="411" t="s">
        <v>1285</v>
      </c>
      <c r="CH1" s="410" t="s">
        <v>1286</v>
      </c>
      <c r="CI1" s="412" t="s">
        <v>1284</v>
      </c>
      <c r="CJ1" s="413" t="s">
        <v>1285</v>
      </c>
      <c r="CK1" s="412" t="s">
        <v>1288</v>
      </c>
      <c r="CL1" s="414" t="s">
        <v>1289</v>
      </c>
    </row>
    <row r="2" ht="14.25" customHeight="1" spans="1:90" x14ac:dyDescent="0.25">
      <c r="A2" s="184" t="s">
        <v>695</v>
      </c>
      <c r="B2" s="185" t="s">
        <v>869</v>
      </c>
      <c r="C2" s="186" t="s">
        <v>871</v>
      </c>
      <c r="D2" s="186" t="s">
        <v>1479</v>
      </c>
      <c r="E2" s="186" t="s">
        <v>462</v>
      </c>
      <c r="F2" s="187" t="s">
        <v>1300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15"/>
    </row>
    <row r="3" ht="14.25" customHeight="1" spans="1:90" x14ac:dyDescent="0.25">
      <c r="A3" s="184" t="s">
        <v>873</v>
      </c>
      <c r="B3" s="185" t="s">
        <v>869</v>
      </c>
      <c r="C3" s="186" t="s">
        <v>874</v>
      </c>
      <c r="D3" s="186" t="s">
        <v>875</v>
      </c>
      <c r="E3" s="186" t="s">
        <v>619</v>
      </c>
      <c r="F3" s="187" t="s">
        <v>1300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15"/>
    </row>
    <row r="4" ht="14.25" customHeight="1" spans="1:90" x14ac:dyDescent="0.25">
      <c r="A4" s="184" t="s">
        <v>473</v>
      </c>
      <c r="B4" s="185" t="s">
        <v>869</v>
      </c>
      <c r="C4" s="186" t="s">
        <v>876</v>
      </c>
      <c r="D4" s="186" t="s">
        <v>1301</v>
      </c>
      <c r="E4" s="186" t="s">
        <v>541</v>
      </c>
      <c r="F4" s="187" t="s">
        <v>1300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15"/>
    </row>
    <row r="5" ht="14.25" customHeight="1" spans="1:90" x14ac:dyDescent="0.25">
      <c r="A5" s="184" t="s">
        <v>63</v>
      </c>
      <c r="B5" s="185" t="s">
        <v>869</v>
      </c>
      <c r="C5" s="186" t="s">
        <v>879</v>
      </c>
      <c r="D5" s="186" t="s">
        <v>880</v>
      </c>
      <c r="E5" s="186" t="s">
        <v>1302</v>
      </c>
      <c r="F5" s="187" t="s">
        <v>1300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15"/>
    </row>
    <row r="6" ht="14.25" customHeight="1" spans="1:90" x14ac:dyDescent="0.25">
      <c r="A6" s="184" t="s">
        <v>882</v>
      </c>
      <c r="B6" s="185" t="s">
        <v>869</v>
      </c>
      <c r="C6" s="186" t="s">
        <v>883</v>
      </c>
      <c r="D6" s="186" t="s">
        <v>884</v>
      </c>
      <c r="E6" s="186" t="s">
        <v>1304</v>
      </c>
      <c r="F6" s="187" t="s">
        <v>1300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15"/>
    </row>
    <row r="7" ht="14.25" customHeight="1" spans="1:90" x14ac:dyDescent="0.25">
      <c r="A7" s="184" t="s">
        <v>759</v>
      </c>
      <c r="B7" s="185" t="s">
        <v>869</v>
      </c>
      <c r="C7" s="186" t="s">
        <v>886</v>
      </c>
      <c r="D7" s="186" t="s">
        <v>1305</v>
      </c>
      <c r="E7" s="186" t="s">
        <v>114</v>
      </c>
      <c r="F7" s="187" t="s">
        <v>1300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15"/>
    </row>
    <row r="8" ht="14.25" customHeight="1" spans="1:90" x14ac:dyDescent="0.25">
      <c r="A8" s="184" t="s">
        <v>428</v>
      </c>
      <c r="B8" s="185" t="s">
        <v>869</v>
      </c>
      <c r="C8" s="186" t="s">
        <v>888</v>
      </c>
      <c r="D8" s="186" t="s">
        <v>889</v>
      </c>
      <c r="E8" s="186" t="s">
        <v>114</v>
      </c>
      <c r="F8" s="187" t="s">
        <v>1300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15"/>
    </row>
    <row r="9" ht="14.25" customHeight="1" spans="1:90" x14ac:dyDescent="0.25">
      <c r="A9" s="184" t="s">
        <v>141</v>
      </c>
      <c r="B9" s="185" t="s">
        <v>869</v>
      </c>
      <c r="C9" s="186" t="s">
        <v>891</v>
      </c>
      <c r="D9" s="186" t="s">
        <v>892</v>
      </c>
      <c r="E9" s="186" t="s">
        <v>589</v>
      </c>
      <c r="F9" s="187" t="s">
        <v>1300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15"/>
    </row>
    <row r="10" ht="14.25" customHeight="1" spans="1:90" x14ac:dyDescent="0.25">
      <c r="A10" s="184" t="s">
        <v>389</v>
      </c>
      <c r="B10" s="39" t="s">
        <v>869</v>
      </c>
      <c r="C10" s="236" t="s">
        <v>1306</v>
      </c>
      <c r="D10" s="186" t="s">
        <v>1307</v>
      </c>
      <c r="E10" s="186"/>
      <c r="F10" s="288"/>
      <c r="G10" s="416"/>
      <c r="H10" s="417"/>
      <c r="I10" s="417"/>
      <c r="J10" s="235"/>
      <c r="K10" s="235"/>
      <c r="L10" s="235"/>
      <c r="M10" s="235"/>
      <c r="N10" s="235"/>
      <c r="O10" s="235"/>
      <c r="P10" s="235"/>
      <c r="Q10" s="235"/>
      <c r="R10" s="235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15"/>
    </row>
    <row r="11" ht="16.5" customHeight="1" spans="1:90" x14ac:dyDescent="0.25">
      <c r="A11" s="184" t="s">
        <v>896</v>
      </c>
      <c r="B11" s="185" t="s">
        <v>869</v>
      </c>
      <c r="C11" s="186" t="s">
        <v>1308</v>
      </c>
      <c r="D11" s="186" t="s">
        <v>898</v>
      </c>
      <c r="E11" s="186" t="s">
        <v>899</v>
      </c>
      <c r="F11" s="187" t="s">
        <v>1300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15"/>
    </row>
    <row r="12" ht="14.25" customHeight="1" spans="1:90" x14ac:dyDescent="0.25">
      <c r="A12" s="184" t="s">
        <v>900</v>
      </c>
      <c r="B12" s="185" t="s">
        <v>869</v>
      </c>
      <c r="C12" s="186" t="s">
        <v>901</v>
      </c>
      <c r="D12" s="186" t="s">
        <v>902</v>
      </c>
      <c r="E12" s="186" t="s">
        <v>899</v>
      </c>
      <c r="F12" s="187" t="s">
        <v>1300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15"/>
    </row>
    <row r="13" ht="15.75" customHeight="1" spans="1:90" x14ac:dyDescent="0.25">
      <c r="A13" s="184" t="s">
        <v>903</v>
      </c>
      <c r="B13" s="185" t="s">
        <v>869</v>
      </c>
      <c r="C13" s="186" t="s">
        <v>904</v>
      </c>
      <c r="D13" s="186" t="s">
        <v>905</v>
      </c>
      <c r="E13" s="186" t="s">
        <v>499</v>
      </c>
      <c r="F13" s="187" t="s">
        <v>1300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15"/>
    </row>
    <row r="14" ht="14.25" customHeight="1" spans="1:90" x14ac:dyDescent="0.25">
      <c r="A14" s="184" t="s">
        <v>475</v>
      </c>
      <c r="B14" s="185" t="s">
        <v>869</v>
      </c>
      <c r="C14" s="186" t="s">
        <v>906</v>
      </c>
      <c r="D14" s="186" t="s">
        <v>1309</v>
      </c>
      <c r="E14" s="186" t="s">
        <v>462</v>
      </c>
      <c r="F14" s="288" t="s">
        <v>1300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15"/>
    </row>
    <row r="15" ht="14.25" customHeight="1" spans="1:90" x14ac:dyDescent="0.25">
      <c r="A15" s="184" t="s">
        <v>908</v>
      </c>
      <c r="B15" s="185" t="s">
        <v>869</v>
      </c>
      <c r="C15" s="186" t="s">
        <v>909</v>
      </c>
      <c r="D15" s="186" t="s">
        <v>910</v>
      </c>
      <c r="E15" s="186" t="s">
        <v>114</v>
      </c>
      <c r="F15" s="288" t="s">
        <v>1300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405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15"/>
    </row>
    <row r="16" ht="14.25" customHeight="1" spans="1:90" x14ac:dyDescent="0.25">
      <c r="A16" s="184" t="s">
        <v>911</v>
      </c>
      <c r="B16" s="185" t="s">
        <v>869</v>
      </c>
      <c r="C16" s="186" t="s">
        <v>912</v>
      </c>
      <c r="D16" s="186" t="s">
        <v>913</v>
      </c>
      <c r="E16" s="186" t="s">
        <v>470</v>
      </c>
      <c r="F16" s="288" t="s">
        <v>1300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15"/>
    </row>
    <row r="17" ht="14.25" customHeight="1" spans="1:90" x14ac:dyDescent="0.25">
      <c r="A17" s="184" t="s">
        <v>68</v>
      </c>
      <c r="B17" s="185" t="s">
        <v>869</v>
      </c>
      <c r="C17" s="186" t="s">
        <v>915</v>
      </c>
      <c r="D17" s="186" t="s">
        <v>916</v>
      </c>
      <c r="E17" s="186" t="s">
        <v>917</v>
      </c>
      <c r="F17" s="288" t="s">
        <v>1300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18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15"/>
    </row>
    <row r="18" ht="14.25" customHeight="1" spans="1:90" x14ac:dyDescent="0.25">
      <c r="A18" s="184" t="s">
        <v>918</v>
      </c>
      <c r="B18" s="185" t="s">
        <v>869</v>
      </c>
      <c r="C18" s="186" t="s">
        <v>919</v>
      </c>
      <c r="D18" s="186" t="s">
        <v>920</v>
      </c>
      <c r="E18" s="186" t="s">
        <v>921</v>
      </c>
      <c r="F18" s="288" t="s">
        <v>1300</v>
      </c>
      <c r="G18" s="188">
        <v>44562</v>
      </c>
      <c r="H18" s="189"/>
      <c r="I18" s="189"/>
      <c r="J18" s="419">
        <v>95</v>
      </c>
      <c r="K18" s="419">
        <v>1</v>
      </c>
      <c r="L18" s="419">
        <f t="shared" si="38"/>
        <v>96.5</v>
      </c>
      <c r="M18" s="419"/>
      <c r="N18" s="419">
        <f t="shared" si="39"/>
        <v>99</v>
      </c>
      <c r="O18" s="419"/>
      <c r="P18" s="419">
        <f t="shared" si="40"/>
        <v>101.5</v>
      </c>
      <c r="Q18" s="419"/>
      <c r="R18" s="419">
        <f t="shared" si="41"/>
        <v>104</v>
      </c>
      <c r="S18" s="419">
        <v>15</v>
      </c>
      <c r="T18" s="419">
        <f t="shared" si="42"/>
        <v>91.5</v>
      </c>
      <c r="U18" s="419"/>
      <c r="V18" s="419">
        <f t="shared" si="43"/>
        <v>94</v>
      </c>
      <c r="W18" s="419">
        <v>30</v>
      </c>
      <c r="X18" s="419">
        <f t="shared" si="44"/>
        <v>66.5</v>
      </c>
      <c r="Y18" s="419"/>
      <c r="Z18" s="419">
        <f t="shared" si="45"/>
        <v>69</v>
      </c>
      <c r="AA18" s="419">
        <v>8</v>
      </c>
      <c r="AB18" s="419">
        <f t="shared" si="46"/>
        <v>63.5</v>
      </c>
      <c r="AC18" s="419"/>
      <c r="AD18" s="419">
        <f t="shared" si="47"/>
        <v>66</v>
      </c>
      <c r="AE18" s="419"/>
      <c r="AF18" s="419">
        <f t="shared" si="48"/>
        <v>68.5</v>
      </c>
      <c r="AG18" s="419"/>
      <c r="AH18" s="419">
        <f t="shared" si="49"/>
        <v>71</v>
      </c>
      <c r="AI18" s="419">
        <v>24</v>
      </c>
      <c r="AJ18" s="419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15"/>
    </row>
    <row r="19" ht="14.25" customHeight="1" spans="1:90" x14ac:dyDescent="0.25">
      <c r="A19" s="184" t="s">
        <v>922</v>
      </c>
      <c r="B19" s="185" t="s">
        <v>869</v>
      </c>
      <c r="C19" s="186" t="s">
        <v>923</v>
      </c>
      <c r="D19" s="186" t="s">
        <v>924</v>
      </c>
      <c r="E19" s="186" t="s">
        <v>899</v>
      </c>
      <c r="F19" s="288" t="s">
        <v>1300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15"/>
    </row>
    <row r="20" ht="14.25" customHeight="1" spans="1:90" x14ac:dyDescent="0.25">
      <c r="A20" s="184" t="s">
        <v>1310</v>
      </c>
      <c r="B20" s="185" t="s">
        <v>869</v>
      </c>
      <c r="C20" s="186" t="s">
        <v>1311</v>
      </c>
      <c r="D20" s="186" t="s">
        <v>1312</v>
      </c>
      <c r="E20" s="186" t="s">
        <v>470</v>
      </c>
      <c r="F20" s="188" t="s">
        <v>1300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15"/>
    </row>
    <row r="21" ht="14.25" customHeight="1" spans="1:90" x14ac:dyDescent="0.25">
      <c r="A21" s="184" t="s">
        <v>925</v>
      </c>
      <c r="B21" s="185" t="s">
        <v>869</v>
      </c>
      <c r="C21" s="186" t="s">
        <v>1313</v>
      </c>
      <c r="D21" s="186" t="s">
        <v>1314</v>
      </c>
      <c r="E21" s="186" t="s">
        <v>899</v>
      </c>
      <c r="F21" s="188" t="s">
        <v>1300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15"/>
    </row>
    <row r="22" ht="14.25" customHeight="1" spans="1:90" x14ac:dyDescent="0.25">
      <c r="A22" s="184" t="s">
        <v>929</v>
      </c>
      <c r="B22" s="185" t="s">
        <v>869</v>
      </c>
      <c r="C22" s="186" t="s">
        <v>1315</v>
      </c>
      <c r="D22" s="186" t="s">
        <v>931</v>
      </c>
      <c r="E22" s="186" t="s">
        <v>466</v>
      </c>
      <c r="F22" s="188" t="s">
        <v>1300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18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1316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15"/>
    </row>
    <row r="23" ht="14.25" customHeight="1" spans="1:90" x14ac:dyDescent="0.25">
      <c r="A23" s="184" t="s">
        <v>932</v>
      </c>
      <c r="B23" s="185" t="s">
        <v>869</v>
      </c>
      <c r="C23" s="186" t="s">
        <v>1317</v>
      </c>
      <c r="D23" s="186" t="s">
        <v>1318</v>
      </c>
      <c r="E23" s="186" t="s">
        <v>466</v>
      </c>
      <c r="F23" s="188" t="s">
        <v>1300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18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1316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15"/>
    </row>
    <row r="24" ht="14.25" customHeight="1" spans="1:90" x14ac:dyDescent="0.25">
      <c r="A24" s="268" t="s">
        <v>716</v>
      </c>
      <c r="B24" s="185" t="s">
        <v>869</v>
      </c>
      <c r="C24" s="186" t="s">
        <v>1319</v>
      </c>
      <c r="D24" s="186" t="s">
        <v>1320</v>
      </c>
      <c r="E24" s="186" t="s">
        <v>470</v>
      </c>
      <c r="F24" s="188" t="s">
        <v>1300</v>
      </c>
      <c r="G24" s="417">
        <v>44972</v>
      </c>
      <c r="H24" s="189">
        <v>45152</v>
      </c>
      <c r="I24" s="417">
        <v>45152</v>
      </c>
      <c r="J24" s="190">
        <v>4</v>
      </c>
      <c r="K24" s="420"/>
      <c r="L24" s="190">
        <f t="shared" si="68"/>
        <v>6.5</v>
      </c>
      <c r="M24" s="420"/>
      <c r="N24" s="190">
        <f t="shared" si="69"/>
        <v>9</v>
      </c>
      <c r="O24" s="420"/>
      <c r="P24" s="190">
        <f t="shared" si="70"/>
        <v>11.5</v>
      </c>
      <c r="Q24" s="420"/>
      <c r="R24" s="190">
        <f t="shared" si="71"/>
        <v>14</v>
      </c>
      <c r="S24" s="420"/>
      <c r="T24" s="190">
        <f t="shared" si="72"/>
        <v>16.5</v>
      </c>
      <c r="U24" s="420"/>
      <c r="V24" s="190">
        <f t="shared" si="73"/>
        <v>19</v>
      </c>
      <c r="W24" s="420"/>
      <c r="X24" s="190">
        <f t="shared" si="74"/>
        <v>21.5</v>
      </c>
      <c r="Y24" s="420"/>
      <c r="Z24" s="190">
        <f t="shared" si="75"/>
        <v>24</v>
      </c>
      <c r="AA24" s="420"/>
      <c r="AB24" s="190">
        <f t="shared" si="76"/>
        <v>26.5</v>
      </c>
      <c r="AC24" s="421">
        <v>1</v>
      </c>
      <c r="AD24" s="190">
        <f t="shared" si="77"/>
        <v>28</v>
      </c>
      <c r="AE24" s="420">
        <v>13</v>
      </c>
      <c r="AF24" s="190">
        <f t="shared" si="78"/>
        <v>17.5</v>
      </c>
      <c r="AG24" s="420"/>
      <c r="AH24" s="190">
        <f t="shared" si="79"/>
        <v>20</v>
      </c>
      <c r="AI24" s="420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15"/>
    </row>
    <row r="25" ht="14.25" customHeight="1" spans="1:90" x14ac:dyDescent="0.25">
      <c r="A25" s="268" t="s">
        <v>937</v>
      </c>
      <c r="B25" s="185" t="s">
        <v>869</v>
      </c>
      <c r="C25" s="186" t="s">
        <v>1321</v>
      </c>
      <c r="D25" s="186" t="s">
        <v>939</v>
      </c>
      <c r="E25" s="186" t="s">
        <v>462</v>
      </c>
      <c r="F25" s="188" t="s">
        <v>1300</v>
      </c>
      <c r="G25" s="417">
        <v>45029</v>
      </c>
      <c r="H25" s="189">
        <v>45211</v>
      </c>
      <c r="I25" s="417">
        <v>45394</v>
      </c>
      <c r="J25" s="190"/>
      <c r="K25" s="420"/>
      <c r="L25" s="190">
        <f t="shared" si="68"/>
        <v>2.5</v>
      </c>
      <c r="M25" s="420"/>
      <c r="N25" s="190">
        <f t="shared" si="69"/>
        <v>5</v>
      </c>
      <c r="O25" s="420"/>
      <c r="P25" s="190">
        <f t="shared" si="70"/>
        <v>7.5</v>
      </c>
      <c r="Q25" s="420"/>
      <c r="R25" s="190">
        <f t="shared" si="71"/>
        <v>10</v>
      </c>
      <c r="S25" s="420"/>
      <c r="T25" s="190">
        <f t="shared" si="72"/>
        <v>12.5</v>
      </c>
      <c r="U25" s="420"/>
      <c r="V25" s="190">
        <f t="shared" si="73"/>
        <v>15</v>
      </c>
      <c r="W25" s="420"/>
      <c r="X25" s="190">
        <f t="shared" si="74"/>
        <v>17.5</v>
      </c>
      <c r="Y25" s="420"/>
      <c r="Z25" s="190">
        <f t="shared" si="75"/>
        <v>20</v>
      </c>
      <c r="AA25" s="420"/>
      <c r="AB25" s="190">
        <f t="shared" si="76"/>
        <v>22.5</v>
      </c>
      <c r="AC25" s="420"/>
      <c r="AD25" s="190">
        <f t="shared" si="77"/>
        <v>25</v>
      </c>
      <c r="AE25" s="420">
        <v>15</v>
      </c>
      <c r="AF25" s="190">
        <f t="shared" si="78"/>
        <v>12.5</v>
      </c>
      <c r="AG25" s="420"/>
      <c r="AH25" s="190">
        <f t="shared" si="79"/>
        <v>15</v>
      </c>
      <c r="AI25" s="420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15"/>
    </row>
    <row r="26" ht="14.25" customHeight="1" spans="1:90" x14ac:dyDescent="0.25">
      <c r="A26" s="268" t="s">
        <v>940</v>
      </c>
      <c r="B26" s="185" t="s">
        <v>869</v>
      </c>
      <c r="C26" s="186" t="s">
        <v>941</v>
      </c>
      <c r="D26" s="186" t="s">
        <v>942</v>
      </c>
      <c r="E26" s="186" t="s">
        <v>466</v>
      </c>
      <c r="F26" s="188" t="s">
        <v>1300</v>
      </c>
      <c r="G26" s="417">
        <v>45078</v>
      </c>
      <c r="H26" s="189">
        <v>45169</v>
      </c>
      <c r="I26" s="417">
        <v>45444</v>
      </c>
      <c r="J26" s="190"/>
      <c r="K26" s="420"/>
      <c r="L26" s="190"/>
      <c r="M26" s="420"/>
      <c r="N26" s="190"/>
      <c r="O26" s="420"/>
      <c r="P26" s="190">
        <f t="shared" si="70"/>
        <v>2.5</v>
      </c>
      <c r="Q26" s="420"/>
      <c r="R26" s="190">
        <f t="shared" si="71"/>
        <v>5</v>
      </c>
      <c r="S26" s="420"/>
      <c r="T26" s="190">
        <f t="shared" si="72"/>
        <v>7.5</v>
      </c>
      <c r="U26" s="420"/>
      <c r="V26" s="190">
        <f t="shared" si="73"/>
        <v>10</v>
      </c>
      <c r="W26" s="420"/>
      <c r="X26" s="190">
        <f t="shared" si="74"/>
        <v>12.5</v>
      </c>
      <c r="Y26" s="420"/>
      <c r="Z26" s="190">
        <f t="shared" si="75"/>
        <v>15</v>
      </c>
      <c r="AA26" s="420">
        <v>2</v>
      </c>
      <c r="AB26" s="190">
        <f t="shared" si="76"/>
        <v>15.5</v>
      </c>
      <c r="AC26" s="421">
        <v>12</v>
      </c>
      <c r="AD26" s="190">
        <f t="shared" si="77"/>
        <v>6</v>
      </c>
      <c r="AE26" s="420"/>
      <c r="AF26" s="190">
        <f t="shared" si="78"/>
        <v>8.5</v>
      </c>
      <c r="AG26" s="422">
        <v>4</v>
      </c>
      <c r="AH26" s="190">
        <f t="shared" si="79"/>
        <v>7</v>
      </c>
      <c r="AI26" s="420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18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1316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15"/>
    </row>
    <row r="27" ht="14.25" customHeight="1" spans="1:90" x14ac:dyDescent="0.25">
      <c r="A27" s="268" t="s">
        <v>943</v>
      </c>
      <c r="B27" s="185" t="s">
        <v>869</v>
      </c>
      <c r="C27" s="186" t="s">
        <v>906</v>
      </c>
      <c r="D27" s="186" t="s">
        <v>945</v>
      </c>
      <c r="E27" s="186" t="s">
        <v>466</v>
      </c>
      <c r="F27" s="188" t="s">
        <v>1300</v>
      </c>
      <c r="G27" s="417">
        <v>45078</v>
      </c>
      <c r="H27" s="189">
        <v>45169</v>
      </c>
      <c r="I27" s="417">
        <v>45444</v>
      </c>
      <c r="J27" s="190"/>
      <c r="K27" s="420"/>
      <c r="L27" s="190"/>
      <c r="M27" s="420"/>
      <c r="N27" s="190"/>
      <c r="O27" s="420"/>
      <c r="P27" s="190">
        <f t="shared" si="70"/>
        <v>2.5</v>
      </c>
      <c r="Q27" s="420"/>
      <c r="R27" s="190">
        <f t="shared" si="71"/>
        <v>5</v>
      </c>
      <c r="S27" s="420"/>
      <c r="T27" s="190">
        <f t="shared" si="72"/>
        <v>7.5</v>
      </c>
      <c r="U27" s="420"/>
      <c r="V27" s="190">
        <f t="shared" si="73"/>
        <v>10</v>
      </c>
      <c r="W27" s="420"/>
      <c r="X27" s="190">
        <f t="shared" si="74"/>
        <v>12.5</v>
      </c>
      <c r="Y27" s="420"/>
      <c r="Z27" s="190">
        <f t="shared" si="75"/>
        <v>15</v>
      </c>
      <c r="AA27" s="420"/>
      <c r="AB27" s="190">
        <f t="shared" si="76"/>
        <v>17.5</v>
      </c>
      <c r="AC27" s="421">
        <v>12</v>
      </c>
      <c r="AD27" s="190">
        <f t="shared" si="77"/>
        <v>8</v>
      </c>
      <c r="AE27" s="420"/>
      <c r="AF27" s="190">
        <f t="shared" si="78"/>
        <v>10.5</v>
      </c>
      <c r="AG27" s="420"/>
      <c r="AH27" s="190">
        <f t="shared" si="79"/>
        <v>13</v>
      </c>
      <c r="AI27" s="420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18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1316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15"/>
    </row>
    <row r="28" ht="14.25" customHeight="1" spans="1:90" x14ac:dyDescent="0.25">
      <c r="A28" s="268" t="s">
        <v>568</v>
      </c>
      <c r="B28" s="185" t="s">
        <v>869</v>
      </c>
      <c r="C28" s="186" t="s">
        <v>946</v>
      </c>
      <c r="D28" s="186" t="s">
        <v>1183</v>
      </c>
      <c r="E28" s="186" t="s">
        <v>466</v>
      </c>
      <c r="F28" s="188" t="s">
        <v>1300</v>
      </c>
      <c r="G28" s="417">
        <v>45078</v>
      </c>
      <c r="H28" s="189">
        <v>45169</v>
      </c>
      <c r="I28" s="417">
        <v>45444</v>
      </c>
      <c r="J28" s="190"/>
      <c r="K28" s="420"/>
      <c r="L28" s="190"/>
      <c r="M28" s="420"/>
      <c r="N28" s="190"/>
      <c r="O28" s="420"/>
      <c r="P28" s="190">
        <f t="shared" si="70"/>
        <v>2.5</v>
      </c>
      <c r="Q28" s="420"/>
      <c r="R28" s="190">
        <f t="shared" si="71"/>
        <v>5</v>
      </c>
      <c r="S28" s="420"/>
      <c r="T28" s="190">
        <f t="shared" si="72"/>
        <v>7.5</v>
      </c>
      <c r="U28" s="420"/>
      <c r="V28" s="190">
        <f t="shared" si="73"/>
        <v>10</v>
      </c>
      <c r="W28" s="420"/>
      <c r="X28" s="190">
        <f t="shared" si="74"/>
        <v>12.5</v>
      </c>
      <c r="Y28" s="420"/>
      <c r="Z28" s="190">
        <f t="shared" si="75"/>
        <v>15</v>
      </c>
      <c r="AA28" s="420"/>
      <c r="AB28" s="190">
        <f t="shared" si="76"/>
        <v>17.5</v>
      </c>
      <c r="AC28" s="421">
        <v>12</v>
      </c>
      <c r="AD28" s="190">
        <f t="shared" si="77"/>
        <v>8</v>
      </c>
      <c r="AE28" s="420"/>
      <c r="AF28" s="190">
        <f t="shared" si="78"/>
        <v>10.5</v>
      </c>
      <c r="AG28" s="420"/>
      <c r="AH28" s="190">
        <f t="shared" si="79"/>
        <v>13</v>
      </c>
      <c r="AI28" s="420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18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1316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15"/>
    </row>
    <row r="29" ht="14.25" customHeight="1" spans="1:90" x14ac:dyDescent="0.25">
      <c r="A29" s="184" t="s">
        <v>330</v>
      </c>
      <c r="B29" s="185" t="s">
        <v>869</v>
      </c>
      <c r="C29" s="186" t="s">
        <v>1322</v>
      </c>
      <c r="D29" s="186" t="s">
        <v>1323</v>
      </c>
      <c r="E29" s="186" t="s">
        <v>466</v>
      </c>
      <c r="F29" s="288" t="s">
        <v>1300</v>
      </c>
      <c r="G29" s="416">
        <v>45306</v>
      </c>
      <c r="H29" s="417"/>
      <c r="I29" s="417"/>
      <c r="J29" s="235"/>
      <c r="K29" s="235"/>
      <c r="L29" s="235"/>
      <c r="M29" s="235"/>
      <c r="N29" s="235"/>
      <c r="O29" s="235"/>
      <c r="P29" s="235"/>
      <c r="Q29" s="235"/>
      <c r="R29" s="235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20"/>
      <c r="AD29" s="190">
        <v>1.25</v>
      </c>
      <c r="AE29" s="420"/>
      <c r="AF29" s="190">
        <f t="shared" si="78"/>
        <v>3.75</v>
      </c>
      <c r="AG29" s="420"/>
      <c r="AH29" s="190">
        <f t="shared" si="79"/>
        <v>6.25</v>
      </c>
      <c r="AI29" s="420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18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1316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15"/>
    </row>
    <row r="30" ht="14.25" customHeight="1" spans="1:90" x14ac:dyDescent="0.25">
      <c r="A30" s="184" t="s">
        <v>458</v>
      </c>
      <c r="B30" s="185" t="s">
        <v>869</v>
      </c>
      <c r="C30" s="186" t="s">
        <v>1324</v>
      </c>
      <c r="D30" s="186" t="s">
        <v>1325</v>
      </c>
      <c r="E30" s="186" t="s">
        <v>470</v>
      </c>
      <c r="F30" s="288" t="s">
        <v>1326</v>
      </c>
      <c r="G30" s="416">
        <v>45281</v>
      </c>
      <c r="H30" s="417"/>
      <c r="I30" s="417"/>
      <c r="J30" s="235"/>
      <c r="K30" s="235"/>
      <c r="L30" s="235"/>
      <c r="M30" s="235"/>
      <c r="N30" s="235"/>
      <c r="O30" s="235"/>
      <c r="P30" s="235"/>
      <c r="Q30" s="235"/>
      <c r="R30" s="235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20"/>
      <c r="AD30" s="190">
        <f>(AB30-AC30)+2.5</f>
        <v>3.5</v>
      </c>
      <c r="AE30" s="420"/>
      <c r="AF30" s="190">
        <f t="shared" si="78"/>
        <v>6</v>
      </c>
      <c r="AG30" s="420"/>
      <c r="AH30" s="190">
        <f t="shared" si="79"/>
        <v>8.5</v>
      </c>
      <c r="AI30" s="420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15"/>
    </row>
    <row r="31" ht="14.25" customHeight="1" spans="1:90" x14ac:dyDescent="0.25">
      <c r="A31" s="32" t="s">
        <v>953</v>
      </c>
      <c r="B31" s="185" t="s">
        <v>869</v>
      </c>
      <c r="C31" s="275" t="s">
        <v>954</v>
      </c>
      <c r="D31" s="275" t="s">
        <v>955</v>
      </c>
      <c r="E31" s="275" t="s">
        <v>956</v>
      </c>
      <c r="F31" s="188" t="s">
        <v>1300</v>
      </c>
      <c r="G31" s="423">
        <v>45362</v>
      </c>
      <c r="H31" s="417"/>
      <c r="I31" s="417"/>
      <c r="J31" s="235"/>
      <c r="K31" s="235"/>
      <c r="L31" s="235"/>
      <c r="M31" s="235"/>
      <c r="N31" s="235"/>
      <c r="O31" s="235"/>
      <c r="P31" s="235"/>
      <c r="Q31" s="235"/>
      <c r="R31" s="235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20"/>
      <c r="AH31" s="190">
        <v>1.67</v>
      </c>
      <c r="AI31" s="420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1316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15"/>
    </row>
    <row r="32" ht="14.25" customHeight="1" spans="1:90" x14ac:dyDescent="0.25">
      <c r="A32" s="32" t="s">
        <v>957</v>
      </c>
      <c r="B32" s="185" t="s">
        <v>869</v>
      </c>
      <c r="C32" s="275" t="s">
        <v>958</v>
      </c>
      <c r="D32" s="275" t="s">
        <v>959</v>
      </c>
      <c r="E32" s="275" t="s">
        <v>114</v>
      </c>
      <c r="F32" s="288" t="s">
        <v>1300</v>
      </c>
      <c r="G32" s="423">
        <v>45362</v>
      </c>
      <c r="H32" s="417"/>
      <c r="I32" s="417"/>
      <c r="J32" s="235"/>
      <c r="K32" s="235"/>
      <c r="L32" s="235"/>
      <c r="M32" s="235"/>
      <c r="N32" s="235"/>
      <c r="O32" s="235"/>
      <c r="P32" s="235"/>
      <c r="Q32" s="235"/>
      <c r="R32" s="235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20"/>
      <c r="AH32" s="190">
        <v>1.67</v>
      </c>
      <c r="AI32" s="420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15"/>
    </row>
    <row r="33" ht="14.25" customHeight="1" spans="1:90" x14ac:dyDescent="0.25">
      <c r="A33" s="32" t="s">
        <v>752</v>
      </c>
      <c r="B33" s="185" t="s">
        <v>869</v>
      </c>
      <c r="C33" s="275" t="s">
        <v>960</v>
      </c>
      <c r="D33" s="275" t="s">
        <v>961</v>
      </c>
      <c r="E33" s="275" t="s">
        <v>114</v>
      </c>
      <c r="F33" s="288" t="s">
        <v>1300</v>
      </c>
      <c r="G33" s="423">
        <v>45362</v>
      </c>
      <c r="H33" s="417"/>
      <c r="I33" s="417"/>
      <c r="J33" s="235"/>
      <c r="K33" s="235"/>
      <c r="L33" s="235"/>
      <c r="M33" s="235"/>
      <c r="N33" s="235"/>
      <c r="O33" s="235"/>
      <c r="P33" s="235"/>
      <c r="Q33" s="235"/>
      <c r="R33" s="235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20"/>
      <c r="AH33" s="190">
        <v>1.67</v>
      </c>
      <c r="AI33" s="420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15"/>
    </row>
    <row r="34" ht="14.25" customHeight="1" spans="1:90" x14ac:dyDescent="0.25">
      <c r="A34" s="32" t="s">
        <v>729</v>
      </c>
      <c r="B34" s="185" t="s">
        <v>869</v>
      </c>
      <c r="C34" s="275" t="s">
        <v>962</v>
      </c>
      <c r="D34" s="275" t="s">
        <v>1327</v>
      </c>
      <c r="E34" s="275" t="s">
        <v>502</v>
      </c>
      <c r="F34" s="288" t="s">
        <v>1300</v>
      </c>
      <c r="G34" s="424">
        <v>45376</v>
      </c>
      <c r="H34" s="417"/>
      <c r="I34" s="417"/>
      <c r="J34" s="235"/>
      <c r="K34" s="235"/>
      <c r="L34" s="235"/>
      <c r="M34" s="235"/>
      <c r="N34" s="235"/>
      <c r="O34" s="235"/>
      <c r="P34" s="235"/>
      <c r="Q34" s="235"/>
      <c r="R34" s="235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25">
        <v>0.5</v>
      </c>
      <c r="AI34" s="420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15"/>
    </row>
    <row r="35" ht="14.25" customHeight="1" spans="1:90" x14ac:dyDescent="0.25">
      <c r="A35" s="32" t="s">
        <v>741</v>
      </c>
      <c r="B35" s="185" t="s">
        <v>869</v>
      </c>
      <c r="C35" s="275" t="s">
        <v>964</v>
      </c>
      <c r="D35" s="275" t="s">
        <v>1328</v>
      </c>
      <c r="E35" s="275" t="s">
        <v>502</v>
      </c>
      <c r="F35" s="288" t="s">
        <v>1300</v>
      </c>
      <c r="G35" s="424">
        <v>45376</v>
      </c>
      <c r="H35" s="417"/>
      <c r="I35" s="417"/>
      <c r="J35" s="235"/>
      <c r="K35" s="235"/>
      <c r="L35" s="235"/>
      <c r="M35" s="235"/>
      <c r="N35" s="235"/>
      <c r="O35" s="235"/>
      <c r="P35" s="235"/>
      <c r="Q35" s="235"/>
      <c r="R35" s="235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35"/>
      <c r="AJ35" s="419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15"/>
    </row>
    <row r="36" ht="14.25" customHeight="1" spans="1:90" x14ac:dyDescent="0.25">
      <c r="A36" s="32" t="s">
        <v>528</v>
      </c>
      <c r="B36" s="185" t="s">
        <v>869</v>
      </c>
      <c r="C36" s="275" t="s">
        <v>1329</v>
      </c>
      <c r="D36" s="275" t="s">
        <v>1330</v>
      </c>
      <c r="E36" s="275" t="s">
        <v>502</v>
      </c>
      <c r="F36" s="288" t="s">
        <v>1300</v>
      </c>
      <c r="G36" s="424">
        <v>45376</v>
      </c>
      <c r="H36" s="417"/>
      <c r="I36" s="417"/>
      <c r="J36" s="235"/>
      <c r="K36" s="235"/>
      <c r="L36" s="235"/>
      <c r="M36" s="235"/>
      <c r="N36" s="235"/>
      <c r="O36" s="235"/>
      <c r="P36" s="235"/>
      <c r="Q36" s="235"/>
      <c r="R36" s="235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25">
        <v>0.5</v>
      </c>
      <c r="AI36" s="420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15"/>
    </row>
    <row r="37" ht="14.25" customHeight="1" spans="1:90" x14ac:dyDescent="0.25">
      <c r="A37" s="32" t="s">
        <v>968</v>
      </c>
      <c r="B37" s="185" t="s">
        <v>869</v>
      </c>
      <c r="C37" s="275" t="s">
        <v>1000</v>
      </c>
      <c r="D37" s="275" t="s">
        <v>1331</v>
      </c>
      <c r="E37" s="275" t="s">
        <v>502</v>
      </c>
      <c r="F37" s="288" t="s">
        <v>1300</v>
      </c>
      <c r="G37" s="424">
        <v>45376</v>
      </c>
      <c r="H37" s="417"/>
      <c r="I37" s="417"/>
      <c r="J37" s="235"/>
      <c r="K37" s="235"/>
      <c r="L37" s="235"/>
      <c r="M37" s="235"/>
      <c r="N37" s="235"/>
      <c r="O37" s="235"/>
      <c r="P37" s="235"/>
      <c r="Q37" s="235"/>
      <c r="R37" s="235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25">
        <v>0.5</v>
      </c>
      <c r="AI37" s="420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15"/>
    </row>
    <row r="38" ht="14.25" customHeight="1" spans="1:90" x14ac:dyDescent="0.25">
      <c r="A38" s="32" t="s">
        <v>688</v>
      </c>
      <c r="B38" s="185" t="s">
        <v>869</v>
      </c>
      <c r="C38" s="275" t="s">
        <v>1332</v>
      </c>
      <c r="D38" s="275" t="s">
        <v>1333</v>
      </c>
      <c r="E38" s="275" t="s">
        <v>502</v>
      </c>
      <c r="F38" s="288" t="s">
        <v>1300</v>
      </c>
      <c r="G38" s="424">
        <v>45376</v>
      </c>
      <c r="H38" s="417"/>
      <c r="I38" s="417"/>
      <c r="J38" s="235"/>
      <c r="K38" s="235"/>
      <c r="L38" s="235"/>
      <c r="M38" s="235"/>
      <c r="N38" s="235"/>
      <c r="O38" s="235"/>
      <c r="P38" s="235"/>
      <c r="Q38" s="235"/>
      <c r="R38" s="235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25">
        <v>0.5</v>
      </c>
      <c r="AI38" s="420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15"/>
    </row>
    <row r="39" ht="14.25" customHeight="1" spans="1:90" x14ac:dyDescent="0.25">
      <c r="A39" s="32" t="s">
        <v>478</v>
      </c>
      <c r="B39" s="185" t="s">
        <v>869</v>
      </c>
      <c r="C39" s="275" t="s">
        <v>898</v>
      </c>
      <c r="D39" s="275" t="s">
        <v>1334</v>
      </c>
      <c r="E39" s="275" t="s">
        <v>502</v>
      </c>
      <c r="F39" s="288" t="s">
        <v>1300</v>
      </c>
      <c r="G39" s="424">
        <v>45376</v>
      </c>
      <c r="H39" s="417"/>
      <c r="I39" s="417"/>
      <c r="J39" s="235"/>
      <c r="K39" s="235"/>
      <c r="L39" s="235"/>
      <c r="M39" s="235"/>
      <c r="N39" s="235"/>
      <c r="O39" s="235"/>
      <c r="P39" s="235"/>
      <c r="Q39" s="235"/>
      <c r="R39" s="235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25">
        <v>0.5</v>
      </c>
      <c r="AI39" s="420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15"/>
    </row>
    <row r="40" ht="14.25" customHeight="1" spans="1:90" x14ac:dyDescent="0.25">
      <c r="A40" s="32" t="s">
        <v>790</v>
      </c>
      <c r="B40" s="185" t="s">
        <v>869</v>
      </c>
      <c r="C40" s="275" t="s">
        <v>975</v>
      </c>
      <c r="D40" s="275" t="s">
        <v>1335</v>
      </c>
      <c r="E40" s="275" t="s">
        <v>502</v>
      </c>
      <c r="F40" s="288" t="s">
        <v>1336</v>
      </c>
      <c r="G40" s="424">
        <v>45376</v>
      </c>
      <c r="H40" s="417"/>
      <c r="I40" s="417"/>
      <c r="J40" s="235"/>
      <c r="K40" s="235"/>
      <c r="L40" s="235"/>
      <c r="M40" s="235"/>
      <c r="N40" s="235"/>
      <c r="O40" s="235"/>
      <c r="P40" s="235"/>
      <c r="Q40" s="235"/>
      <c r="R40" s="235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25">
        <v>0.5</v>
      </c>
      <c r="AI40" s="420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18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15"/>
    </row>
    <row r="41" ht="14.25" customHeight="1" spans="1:90" x14ac:dyDescent="0.25">
      <c r="A41" s="32" t="s">
        <v>737</v>
      </c>
      <c r="B41" s="185" t="s">
        <v>869</v>
      </c>
      <c r="C41" s="275" t="s">
        <v>1337</v>
      </c>
      <c r="D41" s="275" t="s">
        <v>1338</v>
      </c>
      <c r="E41" s="275" t="s">
        <v>502</v>
      </c>
      <c r="F41" s="288" t="s">
        <v>1300</v>
      </c>
      <c r="G41" s="424">
        <v>45376</v>
      </c>
      <c r="H41" s="417"/>
      <c r="I41" s="417"/>
      <c r="J41" s="235"/>
      <c r="K41" s="235"/>
      <c r="L41" s="235"/>
      <c r="M41" s="235"/>
      <c r="N41" s="235"/>
      <c r="O41" s="235"/>
      <c r="P41" s="235"/>
      <c r="Q41" s="235"/>
      <c r="R41" s="235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25">
        <v>0.5</v>
      </c>
      <c r="AI41" s="420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18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15"/>
    </row>
    <row r="42" ht="14.25" customHeight="1" spans="1:90" x14ac:dyDescent="0.25">
      <c r="A42" s="32" t="s">
        <v>747</v>
      </c>
      <c r="B42" s="185" t="s">
        <v>869</v>
      </c>
      <c r="C42" s="275" t="s">
        <v>979</v>
      </c>
      <c r="D42" s="275" t="s">
        <v>1339</v>
      </c>
      <c r="E42" s="275" t="s">
        <v>502</v>
      </c>
      <c r="F42" s="288" t="s">
        <v>1300</v>
      </c>
      <c r="G42" s="424">
        <v>45376</v>
      </c>
      <c r="H42" s="417"/>
      <c r="I42" s="417"/>
      <c r="J42" s="235"/>
      <c r="K42" s="235"/>
      <c r="L42" s="235"/>
      <c r="M42" s="235"/>
      <c r="N42" s="235"/>
      <c r="O42" s="235"/>
      <c r="P42" s="235"/>
      <c r="Q42" s="235"/>
      <c r="R42" s="235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25">
        <v>0.5</v>
      </c>
      <c r="AI42" s="420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15"/>
    </row>
    <row r="43" ht="14.25" customHeight="1" spans="1:90" x14ac:dyDescent="0.25">
      <c r="A43" s="426" t="s">
        <v>981</v>
      </c>
      <c r="B43" s="427" t="s">
        <v>869</v>
      </c>
      <c r="C43" s="428" t="s">
        <v>1340</v>
      </c>
      <c r="D43" s="428" t="s">
        <v>1341</v>
      </c>
      <c r="E43" s="428" t="s">
        <v>811</v>
      </c>
      <c r="F43" s="288" t="s">
        <v>1300</v>
      </c>
      <c r="G43" s="429">
        <v>45376</v>
      </c>
      <c r="H43" s="430"/>
      <c r="I43" s="430"/>
      <c r="J43" s="431"/>
      <c r="K43" s="431"/>
      <c r="L43" s="431"/>
      <c r="M43" s="431"/>
      <c r="N43" s="431"/>
      <c r="O43" s="431"/>
      <c r="P43" s="431"/>
      <c r="Q43" s="431"/>
      <c r="R43" s="431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3">
        <v>0.5</v>
      </c>
      <c r="AI43" s="434"/>
      <c r="AJ43" s="435">
        <f t="shared" si="80"/>
        <v>3</v>
      </c>
      <c r="AK43" s="436"/>
      <c r="AL43" s="437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38"/>
      <c r="AR43" s="193">
        <f t="shared" si="84"/>
        <v>13</v>
      </c>
      <c r="AS43" s="438"/>
      <c r="AT43" s="193">
        <f t="shared" si="85"/>
        <v>15.5</v>
      </c>
      <c r="AU43" s="192">
        <v>14</v>
      </c>
      <c r="AV43" s="193">
        <f t="shared" si="86"/>
        <v>4</v>
      </c>
      <c r="AW43" s="439"/>
      <c r="AX43" s="193">
        <f t="shared" si="87"/>
        <v>6.5</v>
      </c>
      <c r="AY43" s="438"/>
      <c r="AZ43" s="193">
        <f t="shared" si="88"/>
        <v>9</v>
      </c>
      <c r="BA43" s="438"/>
      <c r="BB43" s="193">
        <f t="shared" si="91"/>
        <v>11.5</v>
      </c>
      <c r="BC43" s="440">
        <v>1</v>
      </c>
      <c r="BD43" s="192">
        <f t="shared" si="90"/>
        <v>13</v>
      </c>
      <c r="BE43" s="437"/>
      <c r="BF43" s="192">
        <f t="shared" si="67"/>
        <v>15.5</v>
      </c>
      <c r="BG43" s="437"/>
      <c r="BH43" s="192">
        <f t="shared" si="62"/>
        <v>18</v>
      </c>
      <c r="BI43" s="437"/>
      <c r="BJ43" s="192">
        <f t="shared" si="63"/>
        <v>20.5</v>
      </c>
      <c r="BK43" s="437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37"/>
      <c r="BP43" s="192">
        <f t="shared" si="28"/>
        <v>20</v>
      </c>
      <c r="BQ43" s="437"/>
      <c r="BR43" s="192">
        <f t="shared" si="29"/>
        <v>22.5</v>
      </c>
      <c r="BS43" s="437"/>
      <c r="BT43" s="192">
        <f t="shared" si="30"/>
        <v>25</v>
      </c>
      <c r="BU43" s="437"/>
      <c r="BV43" s="192">
        <f t="shared" si="65"/>
        <v>27.5</v>
      </c>
      <c r="BW43" s="437"/>
      <c r="BX43" s="192">
        <f t="shared" si="32"/>
        <v>30</v>
      </c>
      <c r="BY43" s="437"/>
      <c r="BZ43" s="192">
        <f t="shared" si="33"/>
        <v>32.5</v>
      </c>
      <c r="CA43" s="437"/>
      <c r="CB43" s="192">
        <f t="shared" si="34"/>
        <v>35</v>
      </c>
      <c r="CC43" s="437"/>
      <c r="CD43" s="196">
        <f t="shared" si="35"/>
        <v>37.5</v>
      </c>
      <c r="CE43" s="436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15"/>
    </row>
    <row r="44" ht="14.25" customHeight="1" spans="1:90" x14ac:dyDescent="0.25">
      <c r="A44" s="441" t="s">
        <v>398</v>
      </c>
      <c r="B44" s="442" t="s">
        <v>869</v>
      </c>
      <c r="C44" s="443" t="s">
        <v>1342</v>
      </c>
      <c r="D44" s="443" t="s">
        <v>1343</v>
      </c>
      <c r="E44" s="443" t="s">
        <v>1344</v>
      </c>
      <c r="F44" s="288" t="s">
        <v>1300</v>
      </c>
      <c r="G44" s="444">
        <v>45414</v>
      </c>
      <c r="H44" s="430"/>
      <c r="I44" s="430"/>
      <c r="J44" s="431"/>
      <c r="K44" s="431"/>
      <c r="L44" s="431"/>
      <c r="M44" s="431"/>
      <c r="N44" s="431"/>
      <c r="O44" s="431"/>
      <c r="P44" s="431"/>
      <c r="Q44" s="431"/>
      <c r="R44" s="431"/>
      <c r="S44" s="432"/>
      <c r="T44" s="432"/>
      <c r="U44" s="432"/>
      <c r="V44" s="432"/>
      <c r="W44" s="432"/>
      <c r="X44" s="432"/>
      <c r="Y44" s="432"/>
      <c r="Z44" s="432"/>
      <c r="AA44" s="432"/>
      <c r="AB44" s="432"/>
      <c r="AC44" s="432"/>
      <c r="AD44" s="432"/>
      <c r="AE44" s="432"/>
      <c r="AF44" s="432"/>
      <c r="AG44" s="432"/>
      <c r="AH44" s="432"/>
      <c r="AI44" s="432"/>
      <c r="AJ44" s="432"/>
      <c r="AK44" s="436"/>
      <c r="AL44" s="437">
        <f t="shared" si="81"/>
        <v>2.5</v>
      </c>
      <c r="AM44" s="436"/>
      <c r="AN44" s="438">
        <f t="shared" si="82"/>
        <v>5</v>
      </c>
      <c r="AO44" s="432"/>
      <c r="AP44" s="438">
        <f t="shared" si="83"/>
        <v>7.5</v>
      </c>
      <c r="AQ44" s="438"/>
      <c r="AR44" s="438">
        <f t="shared" si="84"/>
        <v>10</v>
      </c>
      <c r="AS44" s="438"/>
      <c r="AT44" s="193">
        <f t="shared" si="85"/>
        <v>12.5</v>
      </c>
      <c r="AU44" s="437"/>
      <c r="AV44" s="193">
        <f t="shared" si="86"/>
        <v>15</v>
      </c>
      <c r="AW44" s="439"/>
      <c r="AX44" s="193">
        <f t="shared" si="87"/>
        <v>17.5</v>
      </c>
      <c r="AY44" s="438"/>
      <c r="AZ44" s="193">
        <f t="shared" si="88"/>
        <v>20</v>
      </c>
      <c r="BA44" s="438"/>
      <c r="BB44" s="193">
        <f t="shared" si="91"/>
        <v>22.5</v>
      </c>
      <c r="BC44" s="438"/>
      <c r="BD44" s="192">
        <f t="shared" si="90"/>
        <v>25</v>
      </c>
      <c r="BE44" s="437"/>
      <c r="BF44" s="192">
        <f t="shared" si="67"/>
        <v>27.5</v>
      </c>
      <c r="BG44" s="437"/>
      <c r="BH44" s="192">
        <f t="shared" si="62"/>
        <v>30</v>
      </c>
      <c r="BI44" s="437"/>
      <c r="BJ44" s="192">
        <f t="shared" si="63"/>
        <v>32.5</v>
      </c>
      <c r="BK44" s="437"/>
      <c r="BL44" s="192">
        <f t="shared" si="92"/>
        <v>35</v>
      </c>
      <c r="BM44" s="437"/>
      <c r="BN44" s="192">
        <f t="shared" si="27"/>
        <v>37.5</v>
      </c>
      <c r="BO44" s="437"/>
      <c r="BP44" s="192">
        <f t="shared" si="28"/>
        <v>40</v>
      </c>
      <c r="BQ44" s="437"/>
      <c r="BR44" s="192">
        <f t="shared" si="29"/>
        <v>42.5</v>
      </c>
      <c r="BS44" s="437"/>
      <c r="BT44" s="192">
        <f t="shared" si="30"/>
        <v>45</v>
      </c>
      <c r="BU44" s="437"/>
      <c r="BV44" s="192">
        <f t="shared" si="65"/>
        <v>47.5</v>
      </c>
      <c r="BW44" s="437"/>
      <c r="BX44" s="192">
        <f t="shared" si="32"/>
        <v>50</v>
      </c>
      <c r="BY44" s="437"/>
      <c r="BZ44" s="192">
        <f t="shared" si="33"/>
        <v>52.5</v>
      </c>
      <c r="CA44" s="437"/>
      <c r="CB44" s="192">
        <f t="shared" si="34"/>
        <v>55</v>
      </c>
      <c r="CC44" s="437"/>
      <c r="CD44" s="196">
        <f t="shared" si="35"/>
        <v>57.5</v>
      </c>
      <c r="CE44" s="432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15"/>
    </row>
    <row r="45" ht="14.25" customHeight="1" spans="1:90" x14ac:dyDescent="0.25">
      <c r="A45" s="194" t="s">
        <v>986</v>
      </c>
      <c r="B45" s="287" t="s">
        <v>869</v>
      </c>
      <c r="C45" s="186" t="s">
        <v>1345</v>
      </c>
      <c r="D45" s="186" t="s">
        <v>1346</v>
      </c>
      <c r="E45" s="186" t="s">
        <v>100</v>
      </c>
      <c r="F45" s="275" t="s">
        <v>1347</v>
      </c>
      <c r="G45" s="416">
        <v>45495</v>
      </c>
      <c r="H45" s="417"/>
      <c r="I45" s="417"/>
      <c r="J45" s="235"/>
      <c r="K45" s="235"/>
      <c r="L45" s="235"/>
      <c r="M45" s="235"/>
      <c r="N45" s="235"/>
      <c r="O45" s="235"/>
      <c r="P45" s="235"/>
      <c r="Q45" s="235"/>
      <c r="R45" s="235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15"/>
    </row>
    <row r="46" ht="14.25" customHeight="1" spans="1:90" x14ac:dyDescent="0.25">
      <c r="A46" s="184" t="s">
        <v>989</v>
      </c>
      <c r="B46" s="288" t="s">
        <v>869</v>
      </c>
      <c r="C46" s="186" t="s">
        <v>1348</v>
      </c>
      <c r="D46" s="186" t="s">
        <v>1349</v>
      </c>
      <c r="E46" s="275" t="s">
        <v>502</v>
      </c>
      <c r="F46" s="275" t="s">
        <v>1347</v>
      </c>
      <c r="G46" s="416">
        <v>45537</v>
      </c>
      <c r="H46" s="417"/>
      <c r="I46" s="417"/>
      <c r="J46" s="235"/>
      <c r="K46" s="235"/>
      <c r="L46" s="235"/>
      <c r="M46" s="235"/>
      <c r="N46" s="235"/>
      <c r="O46" s="235"/>
      <c r="P46" s="235"/>
      <c r="Q46" s="235"/>
      <c r="R46" s="235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15"/>
    </row>
    <row r="47" ht="14.25" customHeight="1" spans="1:90" x14ac:dyDescent="0.25">
      <c r="A47" s="184" t="s">
        <v>991</v>
      </c>
      <c r="B47" s="288" t="s">
        <v>869</v>
      </c>
      <c r="C47" s="186" t="s">
        <v>1350</v>
      </c>
      <c r="D47" s="186" t="s">
        <v>1351</v>
      </c>
      <c r="E47" s="186" t="s">
        <v>1352</v>
      </c>
      <c r="F47" s="275" t="s">
        <v>1347</v>
      </c>
      <c r="G47" s="416">
        <v>45537</v>
      </c>
      <c r="H47" s="417"/>
      <c r="I47" s="417"/>
      <c r="J47" s="235"/>
      <c r="K47" s="235"/>
      <c r="L47" s="235"/>
      <c r="M47" s="235"/>
      <c r="N47" s="235"/>
      <c r="O47" s="235"/>
      <c r="P47" s="235"/>
      <c r="Q47" s="235"/>
      <c r="R47" s="235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25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15"/>
    </row>
    <row r="48" ht="14.25" customHeight="1" spans="1:90" x14ac:dyDescent="0.25">
      <c r="A48" s="184" t="s">
        <v>994</v>
      </c>
      <c r="B48" s="288" t="s">
        <v>869</v>
      </c>
      <c r="C48" s="186" t="s">
        <v>995</v>
      </c>
      <c r="D48" s="186" t="s">
        <v>1353</v>
      </c>
      <c r="E48" s="275" t="s">
        <v>502</v>
      </c>
      <c r="F48" s="275" t="s">
        <v>1347</v>
      </c>
      <c r="G48" s="416">
        <v>45537</v>
      </c>
      <c r="H48" s="417"/>
      <c r="I48" s="417"/>
      <c r="J48" s="235"/>
      <c r="K48" s="235"/>
      <c r="L48" s="235"/>
      <c r="M48" s="235"/>
      <c r="N48" s="235"/>
      <c r="O48" s="235"/>
      <c r="P48" s="235"/>
      <c r="Q48" s="235"/>
      <c r="R48" s="235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15"/>
    </row>
    <row r="49" ht="14.25" customHeight="1" spans="1:90" x14ac:dyDescent="0.25">
      <c r="A49" s="184" t="s">
        <v>81</v>
      </c>
      <c r="B49" s="288" t="s">
        <v>869</v>
      </c>
      <c r="C49" s="186" t="s">
        <v>997</v>
      </c>
      <c r="D49" s="186" t="s">
        <v>1354</v>
      </c>
      <c r="E49" s="275" t="s">
        <v>1355</v>
      </c>
      <c r="F49" s="275" t="s">
        <v>1347</v>
      </c>
      <c r="G49" s="416">
        <v>45575</v>
      </c>
      <c r="H49" s="417"/>
      <c r="I49" s="417"/>
      <c r="J49" s="235"/>
      <c r="K49" s="235"/>
      <c r="L49" s="235"/>
      <c r="M49" s="235"/>
      <c r="N49" s="235"/>
      <c r="O49" s="235"/>
      <c r="P49" s="235"/>
      <c r="Q49" s="235"/>
      <c r="R49" s="235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1316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15"/>
    </row>
    <row r="50" ht="14.25" customHeight="1" spans="1:90" x14ac:dyDescent="0.25">
      <c r="A50" s="194" t="s">
        <v>232</v>
      </c>
      <c r="B50" s="288" t="s">
        <v>869</v>
      </c>
      <c r="C50" s="186" t="s">
        <v>1000</v>
      </c>
      <c r="D50" s="445" t="s">
        <v>1356</v>
      </c>
      <c r="E50" s="446" t="s">
        <v>1002</v>
      </c>
      <c r="F50" s="275" t="s">
        <v>1357</v>
      </c>
      <c r="G50" s="416">
        <v>45677</v>
      </c>
      <c r="H50" s="417"/>
      <c r="I50" s="417"/>
      <c r="J50" s="235"/>
      <c r="K50" s="235"/>
      <c r="L50" s="235"/>
      <c r="M50" s="235"/>
      <c r="N50" s="235"/>
      <c r="O50" s="235"/>
      <c r="P50" s="235"/>
      <c r="Q50" s="235"/>
      <c r="R50" s="235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15"/>
    </row>
    <row r="51" ht="14.25" customHeight="1" spans="1:90" x14ac:dyDescent="0.25">
      <c r="A51" s="194" t="s">
        <v>327</v>
      </c>
      <c r="B51" s="288" t="s">
        <v>869</v>
      </c>
      <c r="C51" s="236" t="s">
        <v>1358</v>
      </c>
      <c r="D51" s="445" t="s">
        <v>1359</v>
      </c>
      <c r="E51" s="275" t="s">
        <v>1360</v>
      </c>
      <c r="F51" s="275" t="s">
        <v>1357</v>
      </c>
      <c r="G51" s="416">
        <v>45870</v>
      </c>
      <c r="H51" s="417"/>
      <c r="I51" s="417"/>
      <c r="J51" s="235"/>
      <c r="K51" s="235"/>
      <c r="L51" s="235"/>
      <c r="M51" s="235"/>
      <c r="N51" s="235"/>
      <c r="O51" s="235"/>
      <c r="P51" s="235"/>
      <c r="Q51" s="235"/>
      <c r="R51" s="235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15"/>
    </row>
    <row r="52" ht="14.25" customHeight="1" spans="1:90" x14ac:dyDescent="0.25">
      <c r="A52" s="322" t="s">
        <v>1361</v>
      </c>
      <c r="B52" s="39" t="s">
        <v>869</v>
      </c>
      <c r="C52" s="323" t="s">
        <v>1362</v>
      </c>
      <c r="D52" s="322" t="s">
        <v>1363</v>
      </c>
      <c r="E52" s="308" t="s">
        <v>1002</v>
      </c>
      <c r="F52" s="287"/>
      <c r="G52" s="447">
        <v>46051</v>
      </c>
      <c r="H52" s="234"/>
      <c r="I52" s="234"/>
      <c r="J52" s="235"/>
      <c r="K52" s="235"/>
      <c r="L52" s="235"/>
      <c r="M52" s="235"/>
      <c r="N52" s="235"/>
      <c r="O52" s="235"/>
      <c r="P52" s="235"/>
      <c r="Q52" s="235"/>
      <c r="R52" s="235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15"/>
    </row>
    <row r="53" ht="14.25" customHeight="1" spans="1:90" x14ac:dyDescent="0.25">
      <c r="A53" s="322" t="s">
        <v>1364</v>
      </c>
      <c r="B53" s="39" t="s">
        <v>869</v>
      </c>
      <c r="C53" s="323" t="s">
        <v>1365</v>
      </c>
      <c r="D53" s="322" t="s">
        <v>1366</v>
      </c>
      <c r="E53" s="308" t="s">
        <v>1002</v>
      </c>
      <c r="F53" s="287"/>
      <c r="G53" s="447">
        <v>46050</v>
      </c>
      <c r="H53" s="234"/>
      <c r="I53" s="234"/>
      <c r="J53" s="235"/>
      <c r="K53" s="235"/>
      <c r="L53" s="235"/>
      <c r="M53" s="235"/>
      <c r="N53" s="235"/>
      <c r="O53" s="235"/>
      <c r="P53" s="235"/>
      <c r="Q53" s="235"/>
      <c r="R53" s="235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15"/>
    </row>
    <row r="54" ht="14.25" customHeight="1" spans="1:90" x14ac:dyDescent="0.25">
      <c r="A54" s="322" t="s">
        <v>1367</v>
      </c>
      <c r="B54" s="39" t="s">
        <v>869</v>
      </c>
      <c r="C54" s="323" t="s">
        <v>1368</v>
      </c>
      <c r="D54" s="322" t="s">
        <v>1369</v>
      </c>
      <c r="E54" s="308" t="s">
        <v>1002</v>
      </c>
      <c r="F54" s="287"/>
      <c r="G54" s="447">
        <v>46049</v>
      </c>
      <c r="H54" s="234"/>
      <c r="I54" s="234"/>
      <c r="J54" s="235"/>
      <c r="K54" s="235"/>
      <c r="L54" s="235"/>
      <c r="M54" s="235"/>
      <c r="N54" s="235"/>
      <c r="O54" s="235"/>
      <c r="P54" s="235"/>
      <c r="Q54" s="235"/>
      <c r="R54" s="235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15"/>
    </row>
    <row r="55" ht="14.25" customHeight="1" spans="1:90" x14ac:dyDescent="0.25">
      <c r="A55" s="322" t="s">
        <v>1370</v>
      </c>
      <c r="B55" s="39" t="s">
        <v>869</v>
      </c>
      <c r="C55" s="323" t="s">
        <v>1371</v>
      </c>
      <c r="D55" s="322" t="s">
        <v>1372</v>
      </c>
      <c r="E55" s="308" t="s">
        <v>1002</v>
      </c>
      <c r="F55" s="287"/>
      <c r="G55" s="447">
        <v>46052</v>
      </c>
      <c r="H55" s="234"/>
      <c r="I55" s="234"/>
      <c r="J55" s="235"/>
      <c r="K55" s="235"/>
      <c r="L55" s="235"/>
      <c r="M55" s="235"/>
      <c r="N55" s="235"/>
      <c r="O55" s="235"/>
      <c r="P55" s="235"/>
      <c r="Q55" s="235"/>
      <c r="R55" s="235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15"/>
    </row>
    <row r="56" ht="14.25" customHeight="1" spans="1:90" x14ac:dyDescent="0.25">
      <c r="A56" s="308" t="s">
        <v>221</v>
      </c>
      <c r="B56" s="39" t="s">
        <v>869</v>
      </c>
      <c r="C56" s="308" t="s">
        <v>1373</v>
      </c>
      <c r="D56" s="322" t="s">
        <v>1374</v>
      </c>
      <c r="E56" s="194" t="s">
        <v>1002</v>
      </c>
      <c r="F56" s="287" t="s">
        <v>1375</v>
      </c>
      <c r="G56" s="447">
        <v>45996</v>
      </c>
      <c r="H56" s="234"/>
      <c r="I56" s="234"/>
      <c r="J56" s="235"/>
      <c r="K56" s="235"/>
      <c r="L56" s="235"/>
      <c r="M56" s="235"/>
      <c r="N56" s="235"/>
      <c r="O56" s="235"/>
      <c r="P56" s="235"/>
      <c r="Q56" s="235"/>
      <c r="R56" s="235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25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15"/>
    </row>
    <row r="57" ht="14.25" customHeight="1" spans="1:90" x14ac:dyDescent="0.25">
      <c r="A57" s="308" t="s">
        <v>225</v>
      </c>
      <c r="B57" s="39" t="s">
        <v>869</v>
      </c>
      <c r="C57" s="308" t="s">
        <v>1009</v>
      </c>
      <c r="D57" s="322" t="s">
        <v>1376</v>
      </c>
      <c r="E57" s="194" t="s">
        <v>1002</v>
      </c>
      <c r="F57" s="287" t="s">
        <v>1375</v>
      </c>
      <c r="G57" s="447">
        <v>45996</v>
      </c>
      <c r="H57" s="234"/>
      <c r="I57" s="234"/>
      <c r="J57" s="235"/>
      <c r="K57" s="235"/>
      <c r="L57" s="235"/>
      <c r="M57" s="235"/>
      <c r="N57" s="235"/>
      <c r="O57" s="235"/>
      <c r="P57" s="235"/>
      <c r="Q57" s="235"/>
      <c r="R57" s="235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25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15"/>
    </row>
    <row r="58" ht="14.25" customHeight="1" spans="1:90" x14ac:dyDescent="0.25">
      <c r="A58" s="308" t="s">
        <v>228</v>
      </c>
      <c r="B58" s="39" t="s">
        <v>869</v>
      </c>
      <c r="C58" s="308" t="s">
        <v>1377</v>
      </c>
      <c r="D58" s="322" t="s">
        <v>1378</v>
      </c>
      <c r="E58" s="194" t="s">
        <v>1002</v>
      </c>
      <c r="F58" s="287" t="s">
        <v>1375</v>
      </c>
      <c r="G58" s="447">
        <v>45996</v>
      </c>
      <c r="H58" s="234"/>
      <c r="I58" s="234"/>
      <c r="J58" s="235"/>
      <c r="K58" s="235"/>
      <c r="L58" s="235"/>
      <c r="M58" s="235"/>
      <c r="N58" s="235"/>
      <c r="O58" s="235"/>
      <c r="P58" s="235"/>
      <c r="Q58" s="235"/>
      <c r="R58" s="235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25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15"/>
    </row>
    <row r="59" ht="14.25" customHeight="1" spans="1:90" x14ac:dyDescent="0.25">
      <c r="A59" s="184" t="s">
        <v>419</v>
      </c>
      <c r="B59" s="39" t="s">
        <v>869</v>
      </c>
      <c r="C59" s="186" t="s">
        <v>1379</v>
      </c>
      <c r="D59" s="236" t="s">
        <v>1014</v>
      </c>
      <c r="E59" s="446" t="s">
        <v>1002</v>
      </c>
      <c r="F59" s="288" t="s">
        <v>1380</v>
      </c>
      <c r="G59" s="416">
        <v>45748</v>
      </c>
      <c r="H59" s="417"/>
      <c r="I59" s="417"/>
      <c r="J59" s="235"/>
      <c r="K59" s="235"/>
      <c r="L59" s="235"/>
      <c r="M59" s="235"/>
      <c r="N59" s="235"/>
      <c r="O59" s="235"/>
      <c r="P59" s="235"/>
      <c r="Q59" s="235"/>
      <c r="R59" s="235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15"/>
    </row>
    <row r="60" ht="14.25" customHeight="1" spans="1:90" x14ac:dyDescent="0.25">
      <c r="A60" s="184" t="s">
        <v>1016</v>
      </c>
      <c r="B60" s="39" t="s">
        <v>869</v>
      </c>
      <c r="C60" s="236" t="s">
        <v>1017</v>
      </c>
      <c r="D60" s="186" t="s">
        <v>1381</v>
      </c>
      <c r="E60" s="186" t="s">
        <v>100</v>
      </c>
      <c r="F60" s="288" t="s">
        <v>1326</v>
      </c>
      <c r="G60" s="416">
        <v>45740</v>
      </c>
      <c r="H60" s="417"/>
      <c r="I60" s="417"/>
      <c r="J60" s="235"/>
      <c r="K60" s="235"/>
      <c r="L60" s="235"/>
      <c r="M60" s="235"/>
      <c r="N60" s="235"/>
      <c r="O60" s="235"/>
      <c r="P60" s="235"/>
      <c r="Q60" s="235"/>
      <c r="R60" s="235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15"/>
    </row>
    <row r="61" ht="14.25" customHeight="1" spans="1:90" x14ac:dyDescent="0.25">
      <c r="A61" s="322" t="s">
        <v>125</v>
      </c>
      <c r="B61" s="39" t="s">
        <v>869</v>
      </c>
      <c r="C61" s="194" t="s">
        <v>1019</v>
      </c>
      <c r="D61" s="322" t="s">
        <v>1382</v>
      </c>
      <c r="E61" s="308" t="s">
        <v>462</v>
      </c>
      <c r="F61" s="288" t="s">
        <v>1347</v>
      </c>
      <c r="G61" s="447">
        <v>46036</v>
      </c>
      <c r="H61" s="234"/>
      <c r="I61" s="234"/>
      <c r="J61" s="235"/>
      <c r="K61" s="235"/>
      <c r="L61" s="235"/>
      <c r="M61" s="235"/>
      <c r="N61" s="235"/>
      <c r="O61" s="235"/>
      <c r="P61" s="235"/>
      <c r="Q61" s="235"/>
      <c r="R61" s="235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15"/>
    </row>
    <row r="62" ht="14.25" customHeight="1" spans="1:90" x14ac:dyDescent="0.25">
      <c r="A62" s="194" t="s">
        <v>1021</v>
      </c>
      <c r="B62" s="39" t="s">
        <v>869</v>
      </c>
      <c r="C62" s="275" t="s">
        <v>1383</v>
      </c>
      <c r="D62" s="186" t="s">
        <v>1384</v>
      </c>
      <c r="E62" s="186" t="s">
        <v>462</v>
      </c>
      <c r="F62" s="288" t="s">
        <v>1326</v>
      </c>
      <c r="G62" s="416">
        <v>45854</v>
      </c>
      <c r="H62" s="417"/>
      <c r="I62" s="417"/>
      <c r="J62" s="235"/>
      <c r="K62" s="235"/>
      <c r="L62" s="235"/>
      <c r="M62" s="235"/>
      <c r="N62" s="235"/>
      <c r="O62" s="235"/>
      <c r="P62" s="235"/>
      <c r="Q62" s="235"/>
      <c r="R62" s="235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15"/>
    </row>
    <row r="63" ht="14.25" customHeight="1" spans="1:90" x14ac:dyDescent="0.25">
      <c r="A63" s="322" t="s">
        <v>517</v>
      </c>
      <c r="B63" s="39" t="s">
        <v>869</v>
      </c>
      <c r="C63" s="323" t="s">
        <v>1311</v>
      </c>
      <c r="D63" s="322" t="s">
        <v>1385</v>
      </c>
      <c r="E63" s="308" t="s">
        <v>462</v>
      </c>
      <c r="F63" s="287"/>
      <c r="G63" s="447">
        <v>46053</v>
      </c>
      <c r="H63" s="234"/>
      <c r="I63" s="234"/>
      <c r="J63" s="235"/>
      <c r="K63" s="235"/>
      <c r="L63" s="235"/>
      <c r="M63" s="235"/>
      <c r="N63" s="235"/>
      <c r="O63" s="235"/>
      <c r="P63" s="235"/>
      <c r="Q63" s="235"/>
      <c r="R63" s="235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15"/>
    </row>
    <row r="64" ht="14.25" customHeight="1" spans="1:90" x14ac:dyDescent="0.25">
      <c r="A64" s="184" t="s">
        <v>1026</v>
      </c>
      <c r="B64" s="39" t="s">
        <v>869</v>
      </c>
      <c r="C64" s="236" t="s">
        <v>1027</v>
      </c>
      <c r="D64" s="236" t="s">
        <v>1386</v>
      </c>
      <c r="E64" s="186" t="s">
        <v>462</v>
      </c>
      <c r="F64" s="288" t="s">
        <v>1347</v>
      </c>
      <c r="G64" s="416">
        <v>45931</v>
      </c>
      <c r="H64" s="417"/>
      <c r="I64" s="417"/>
      <c r="J64" s="235"/>
      <c r="K64" s="235"/>
      <c r="L64" s="235"/>
      <c r="M64" s="235"/>
      <c r="N64" s="235"/>
      <c r="O64" s="235"/>
      <c r="P64" s="235"/>
      <c r="Q64" s="235"/>
      <c r="R64" s="235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15"/>
    </row>
    <row r="65" ht="14.25" customHeight="1" spans="1:90" x14ac:dyDescent="0.25">
      <c r="A65" s="322" t="s">
        <v>138</v>
      </c>
      <c r="B65" s="39" t="s">
        <v>869</v>
      </c>
      <c r="C65" s="236" t="s">
        <v>1029</v>
      </c>
      <c r="D65" s="186" t="s">
        <v>1387</v>
      </c>
      <c r="E65" s="308" t="s">
        <v>462</v>
      </c>
      <c r="F65" s="287" t="s">
        <v>1380</v>
      </c>
      <c r="G65" s="447">
        <v>45992</v>
      </c>
      <c r="H65" s="234"/>
      <c r="I65" s="234"/>
      <c r="J65" s="235"/>
      <c r="K65" s="235"/>
      <c r="L65" s="235"/>
      <c r="M65" s="235"/>
      <c r="N65" s="235"/>
      <c r="O65" s="235"/>
      <c r="P65" s="235"/>
      <c r="Q65" s="235"/>
      <c r="R65" s="235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15"/>
    </row>
    <row r="66" ht="14.25" customHeight="1" spans="1:90" x14ac:dyDescent="0.25">
      <c r="A66" s="308" t="s">
        <v>119</v>
      </c>
      <c r="B66" s="39" t="s">
        <v>869</v>
      </c>
      <c r="C66" s="308" t="s">
        <v>1050</v>
      </c>
      <c r="D66" s="322" t="s">
        <v>1388</v>
      </c>
      <c r="E66" s="308" t="s">
        <v>462</v>
      </c>
      <c r="F66" s="287" t="s">
        <v>1375</v>
      </c>
      <c r="G66" s="447">
        <v>45996</v>
      </c>
      <c r="H66" s="234"/>
      <c r="I66" s="234"/>
      <c r="J66" s="235"/>
      <c r="K66" s="235"/>
      <c r="L66" s="235"/>
      <c r="M66" s="235"/>
      <c r="N66" s="235"/>
      <c r="O66" s="235"/>
      <c r="P66" s="235"/>
      <c r="Q66" s="235"/>
      <c r="R66" s="235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25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15"/>
    </row>
    <row r="67" ht="14.25" customHeight="1" spans="1:90" x14ac:dyDescent="0.25">
      <c r="A67" s="322" t="s">
        <v>128</v>
      </c>
      <c r="B67" s="39" t="s">
        <v>869</v>
      </c>
      <c r="C67" s="194" t="s">
        <v>1389</v>
      </c>
      <c r="D67" s="322" t="s">
        <v>1390</v>
      </c>
      <c r="E67" s="308" t="s">
        <v>462</v>
      </c>
      <c r="F67" s="287"/>
      <c r="G67" s="447">
        <v>46048</v>
      </c>
      <c r="H67" s="234"/>
      <c r="I67" s="234"/>
      <c r="J67" s="235"/>
      <c r="K67" s="235"/>
      <c r="L67" s="235"/>
      <c r="M67" s="235"/>
      <c r="N67" s="235"/>
      <c r="O67" s="235"/>
      <c r="P67" s="235"/>
      <c r="Q67" s="235"/>
      <c r="R67" s="235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15"/>
    </row>
    <row r="68" ht="14.25" customHeight="1" spans="1:90" x14ac:dyDescent="0.25">
      <c r="A68" s="184" t="s">
        <v>413</v>
      </c>
      <c r="B68" s="39" t="s">
        <v>869</v>
      </c>
      <c r="C68" s="186" t="s">
        <v>415</v>
      </c>
      <c r="D68" s="186"/>
      <c r="E68" s="186" t="s">
        <v>619</v>
      </c>
      <c r="F68" s="288" t="s">
        <v>1391</v>
      </c>
      <c r="G68" s="416">
        <v>45915</v>
      </c>
      <c r="H68" s="417"/>
      <c r="I68" s="417"/>
      <c r="J68" s="235"/>
      <c r="K68" s="235"/>
      <c r="L68" s="235"/>
      <c r="M68" s="235"/>
      <c r="N68" s="235"/>
      <c r="O68" s="235"/>
      <c r="P68" s="235"/>
      <c r="Q68" s="235"/>
      <c r="R68" s="235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15"/>
    </row>
    <row r="69" ht="14.25" customHeight="1" spans="1:90" x14ac:dyDescent="0.25">
      <c r="A69" s="194" t="s">
        <v>416</v>
      </c>
      <c r="B69" s="39" t="s">
        <v>869</v>
      </c>
      <c r="C69" s="236" t="s">
        <v>1392</v>
      </c>
      <c r="D69" s="186" t="s">
        <v>1393</v>
      </c>
      <c r="E69" s="186" t="s">
        <v>612</v>
      </c>
      <c r="F69" s="288" t="s">
        <v>1300</v>
      </c>
      <c r="G69" s="416">
        <v>45931</v>
      </c>
      <c r="H69" s="417"/>
      <c r="I69" s="417"/>
      <c r="J69" s="235"/>
      <c r="K69" s="235"/>
      <c r="L69" s="235"/>
      <c r="M69" s="235"/>
      <c r="N69" s="235"/>
      <c r="O69" s="235"/>
      <c r="P69" s="235"/>
      <c r="Q69" s="235"/>
      <c r="R69" s="235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15"/>
    </row>
    <row r="70" ht="14.25" customHeight="1" spans="1:90" x14ac:dyDescent="0.25">
      <c r="A70" s="184" t="s">
        <v>404</v>
      </c>
      <c r="B70" s="39" t="s">
        <v>869</v>
      </c>
      <c r="C70" s="236" t="s">
        <v>1036</v>
      </c>
      <c r="D70" s="186" t="s">
        <v>1394</v>
      </c>
      <c r="E70" s="186" t="s">
        <v>612</v>
      </c>
      <c r="F70" s="288" t="s">
        <v>1300</v>
      </c>
      <c r="G70" s="416">
        <v>45931</v>
      </c>
      <c r="H70" s="417"/>
      <c r="I70" s="417"/>
      <c r="J70" s="235"/>
      <c r="K70" s="235"/>
      <c r="L70" s="235"/>
      <c r="M70" s="235"/>
      <c r="N70" s="235"/>
      <c r="O70" s="235"/>
      <c r="P70" s="235"/>
      <c r="Q70" s="235"/>
      <c r="R70" s="235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15"/>
    </row>
    <row r="71" ht="14.25" customHeight="1" spans="1:90" x14ac:dyDescent="0.25">
      <c r="A71" s="322" t="s">
        <v>148</v>
      </c>
      <c r="B71" s="39" t="s">
        <v>869</v>
      </c>
      <c r="C71" s="194" t="s">
        <v>1395</v>
      </c>
      <c r="D71" s="322" t="s">
        <v>1396</v>
      </c>
      <c r="E71" s="308" t="s">
        <v>462</v>
      </c>
      <c r="F71" s="287"/>
      <c r="G71" s="447">
        <v>46047</v>
      </c>
      <c r="H71" s="234"/>
      <c r="I71" s="234"/>
      <c r="J71" s="235"/>
      <c r="K71" s="235"/>
      <c r="L71" s="235"/>
      <c r="M71" s="235"/>
      <c r="N71" s="235"/>
      <c r="O71" s="235"/>
      <c r="P71" s="235"/>
      <c r="Q71" s="235"/>
      <c r="R71" s="235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15"/>
    </row>
    <row r="72" ht="14.25" customHeight="1" spans="1:90" x14ac:dyDescent="0.25">
      <c r="A72" s="322" t="s">
        <v>1397</v>
      </c>
      <c r="B72" s="39" t="s">
        <v>869</v>
      </c>
      <c r="C72" s="236" t="s">
        <v>1398</v>
      </c>
      <c r="D72" s="186" t="s">
        <v>1399</v>
      </c>
      <c r="E72" s="194" t="s">
        <v>1002</v>
      </c>
      <c r="F72" s="287" t="s">
        <v>1380</v>
      </c>
      <c r="G72" s="447">
        <v>45974</v>
      </c>
      <c r="H72" s="234"/>
      <c r="I72" s="234"/>
      <c r="J72" s="235"/>
      <c r="K72" s="235"/>
      <c r="L72" s="235"/>
      <c r="M72" s="235"/>
      <c r="N72" s="235"/>
      <c r="O72" s="235"/>
      <c r="P72" s="235"/>
      <c r="Q72" s="235"/>
      <c r="R72" s="235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15"/>
    </row>
    <row r="73" ht="14.25" customHeight="1" spans="1:90" x14ac:dyDescent="0.25">
      <c r="A73" s="322" t="s">
        <v>74</v>
      </c>
      <c r="B73" s="39" t="s">
        <v>869</v>
      </c>
      <c r="C73" s="194" t="s">
        <v>1400</v>
      </c>
      <c r="D73" s="322" t="s">
        <v>1401</v>
      </c>
      <c r="E73" s="308" t="s">
        <v>462</v>
      </c>
      <c r="F73" s="288" t="s">
        <v>1347</v>
      </c>
      <c r="G73" s="447">
        <v>46036</v>
      </c>
      <c r="H73" s="234"/>
      <c r="I73" s="234"/>
      <c r="J73" s="235"/>
      <c r="K73" s="235"/>
      <c r="L73" s="235"/>
      <c r="M73" s="235"/>
      <c r="N73" s="235"/>
      <c r="O73" s="235"/>
      <c r="P73" s="235"/>
      <c r="Q73" s="235"/>
      <c r="R73" s="235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15"/>
    </row>
    <row r="74" ht="14.25" customHeight="1" spans="1:90" x14ac:dyDescent="0.25">
      <c r="A74" s="194" t="s">
        <v>425</v>
      </c>
      <c r="B74" s="39" t="s">
        <v>869</v>
      </c>
      <c r="C74" s="194" t="s">
        <v>1402</v>
      </c>
      <c r="D74" s="322" t="s">
        <v>1403</v>
      </c>
      <c r="E74" s="236" t="s">
        <v>1404</v>
      </c>
      <c r="F74" s="288" t="s">
        <v>1300</v>
      </c>
      <c r="G74" s="447">
        <v>45992</v>
      </c>
      <c r="H74" s="234"/>
      <c r="I74" s="234"/>
      <c r="J74" s="235"/>
      <c r="K74" s="235"/>
      <c r="L74" s="235"/>
      <c r="M74" s="235"/>
      <c r="N74" s="235"/>
      <c r="O74" s="235"/>
      <c r="P74" s="235"/>
      <c r="Q74" s="235"/>
      <c r="R74" s="235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15"/>
    </row>
    <row r="75" ht="14.25" customHeight="1" spans="1:90" x14ac:dyDescent="0.25">
      <c r="A75" s="308" t="s">
        <v>84</v>
      </c>
      <c r="B75" s="39" t="s">
        <v>869</v>
      </c>
      <c r="C75" s="308" t="s">
        <v>1044</v>
      </c>
      <c r="D75" s="322" t="s">
        <v>1405</v>
      </c>
      <c r="E75" s="194" t="s">
        <v>1406</v>
      </c>
      <c r="F75" s="287" t="s">
        <v>1375</v>
      </c>
      <c r="G75" s="447">
        <v>45996</v>
      </c>
      <c r="H75" s="234"/>
      <c r="I75" s="234"/>
      <c r="J75" s="235"/>
      <c r="K75" s="235"/>
      <c r="L75" s="235"/>
      <c r="M75" s="235"/>
      <c r="N75" s="235"/>
      <c r="O75" s="235"/>
      <c r="P75" s="235"/>
      <c r="Q75" s="235"/>
      <c r="R75" s="235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15"/>
    </row>
    <row r="76" ht="14.25" customHeight="1" spans="1:90" x14ac:dyDescent="0.25">
      <c r="A76" s="322" t="s">
        <v>1407</v>
      </c>
      <c r="B76" s="39" t="s">
        <v>869</v>
      </c>
      <c r="C76" s="194" t="s">
        <v>1408</v>
      </c>
      <c r="D76" s="322" t="s">
        <v>1409</v>
      </c>
      <c r="E76" s="308" t="s">
        <v>1002</v>
      </c>
      <c r="F76" s="287"/>
      <c r="G76" s="447">
        <v>46045</v>
      </c>
      <c r="H76" s="234"/>
      <c r="I76" s="234"/>
      <c r="J76" s="235"/>
      <c r="K76" s="235"/>
      <c r="L76" s="235"/>
      <c r="M76" s="235"/>
      <c r="N76" s="235"/>
      <c r="O76" s="235"/>
      <c r="P76" s="235"/>
      <c r="Q76" s="235"/>
      <c r="R76" s="235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15"/>
    </row>
    <row r="77" ht="14.25" customHeight="1" spans="1:90" x14ac:dyDescent="0.25">
      <c r="A77" s="322" t="s">
        <v>135</v>
      </c>
      <c r="B77" s="39" t="s">
        <v>869</v>
      </c>
      <c r="C77" s="194" t="s">
        <v>1046</v>
      </c>
      <c r="D77" s="322" t="s">
        <v>1410</v>
      </c>
      <c r="E77" s="308" t="s">
        <v>462</v>
      </c>
      <c r="F77" s="287"/>
      <c r="G77" s="447">
        <v>46046</v>
      </c>
      <c r="H77" s="234"/>
      <c r="I77" s="234"/>
      <c r="J77" s="235"/>
      <c r="K77" s="235"/>
      <c r="L77" s="235"/>
      <c r="M77" s="235"/>
      <c r="N77" s="235"/>
      <c r="O77" s="235"/>
      <c r="P77" s="235"/>
      <c r="Q77" s="235"/>
      <c r="R77" s="235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15"/>
    </row>
    <row r="78" ht="14.25" customHeight="1" spans="1:90" x14ac:dyDescent="0.25">
      <c r="A78" s="322" t="s">
        <v>667</v>
      </c>
      <c r="B78" s="39" t="s">
        <v>869</v>
      </c>
      <c r="C78" s="322" t="s">
        <v>1048</v>
      </c>
      <c r="D78" s="322" t="s">
        <v>1411</v>
      </c>
      <c r="E78" s="308" t="s">
        <v>462</v>
      </c>
      <c r="F78" s="288" t="s">
        <v>1347</v>
      </c>
      <c r="G78" s="447">
        <v>46027</v>
      </c>
      <c r="H78" s="234"/>
      <c r="I78" s="234"/>
      <c r="J78" s="235"/>
      <c r="K78" s="235"/>
      <c r="L78" s="235"/>
      <c r="M78" s="235"/>
      <c r="N78" s="235"/>
      <c r="O78" s="235"/>
      <c r="P78" s="235"/>
      <c r="Q78" s="235"/>
      <c r="R78" s="235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15"/>
    </row>
    <row r="79" ht="14.25" customHeight="1" spans="1:90" x14ac:dyDescent="0.25">
      <c r="A79" s="322" t="s">
        <v>1412</v>
      </c>
      <c r="B79" s="39" t="s">
        <v>869</v>
      </c>
      <c r="C79" s="194" t="s">
        <v>1358</v>
      </c>
      <c r="D79" s="322" t="s">
        <v>1413</v>
      </c>
      <c r="E79" s="308" t="s">
        <v>100</v>
      </c>
      <c r="F79" s="287"/>
      <c r="G79" s="447">
        <v>46041</v>
      </c>
      <c r="H79" s="234"/>
      <c r="I79" s="234"/>
      <c r="J79" s="235"/>
      <c r="K79" s="235"/>
      <c r="L79" s="235"/>
      <c r="M79" s="235"/>
      <c r="N79" s="235"/>
      <c r="O79" s="235"/>
      <c r="P79" s="235"/>
      <c r="Q79" s="235"/>
      <c r="R79" s="235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15"/>
    </row>
    <row r="80" ht="14.25" customHeight="1" spans="1:90" x14ac:dyDescent="0.25">
      <c r="A80" s="322" t="s">
        <v>131</v>
      </c>
      <c r="B80" s="39" t="s">
        <v>869</v>
      </c>
      <c r="C80" s="194" t="s">
        <v>876</v>
      </c>
      <c r="D80" s="322" t="s">
        <v>1414</v>
      </c>
      <c r="E80" s="308" t="s">
        <v>462</v>
      </c>
      <c r="F80" s="287"/>
      <c r="G80" s="447">
        <v>46043</v>
      </c>
      <c r="H80" s="234"/>
      <c r="I80" s="234"/>
      <c r="J80" s="235"/>
      <c r="K80" s="235"/>
      <c r="L80" s="235"/>
      <c r="M80" s="235"/>
      <c r="N80" s="235"/>
      <c r="O80" s="235"/>
      <c r="P80" s="235"/>
      <c r="Q80" s="235"/>
      <c r="R80" s="235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15"/>
    </row>
    <row r="81" ht="14.25" customHeight="1" spans="1:90" x14ac:dyDescent="0.25">
      <c r="A81" s="322" t="s">
        <v>111</v>
      </c>
      <c r="B81" s="39" t="s">
        <v>869</v>
      </c>
      <c r="C81" s="194" t="s">
        <v>1415</v>
      </c>
      <c r="D81" s="322" t="s">
        <v>1416</v>
      </c>
      <c r="E81" s="308" t="s">
        <v>462</v>
      </c>
      <c r="F81" s="287"/>
      <c r="G81" s="447">
        <v>46044</v>
      </c>
      <c r="H81" s="234"/>
      <c r="I81" s="234"/>
      <c r="J81" s="235"/>
      <c r="K81" s="235"/>
      <c r="L81" s="235"/>
      <c r="M81" s="235"/>
      <c r="N81" s="235"/>
      <c r="O81" s="235"/>
      <c r="P81" s="235"/>
      <c r="Q81" s="235"/>
      <c r="R81" s="235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15"/>
    </row>
    <row r="82" ht="14.25" customHeight="1" spans="1:90" x14ac:dyDescent="0.25">
      <c r="A82" s="322" t="s">
        <v>1417</v>
      </c>
      <c r="B82" s="39" t="s">
        <v>869</v>
      </c>
      <c r="C82" s="194" t="s">
        <v>1418</v>
      </c>
      <c r="D82" s="322" t="s">
        <v>1419</v>
      </c>
      <c r="E82" s="308" t="s">
        <v>66</v>
      </c>
      <c r="F82" s="287"/>
      <c r="G82" s="447">
        <v>46042</v>
      </c>
      <c r="H82" s="234"/>
      <c r="I82" s="234"/>
      <c r="J82" s="235"/>
      <c r="K82" s="235"/>
      <c r="L82" s="235"/>
      <c r="M82" s="235"/>
      <c r="N82" s="235"/>
      <c r="O82" s="235"/>
      <c r="P82" s="235"/>
      <c r="Q82" s="235"/>
      <c r="R82" s="235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15"/>
    </row>
    <row r="83" ht="14.25" customHeight="1" spans="1:90" x14ac:dyDescent="0.25">
      <c r="A83" s="322" t="s">
        <v>465</v>
      </c>
      <c r="B83" s="39" t="s">
        <v>869</v>
      </c>
      <c r="C83" s="322" t="s">
        <v>1420</v>
      </c>
      <c r="D83" s="322" t="s">
        <v>1421</v>
      </c>
      <c r="E83" s="322" t="s">
        <v>466</v>
      </c>
      <c r="F83" s="287"/>
      <c r="G83" s="447">
        <v>46057</v>
      </c>
      <c r="H83" s="234"/>
      <c r="I83" s="234"/>
      <c r="J83" s="235"/>
      <c r="K83" s="235"/>
      <c r="L83" s="235"/>
      <c r="M83" s="235"/>
      <c r="N83" s="235"/>
      <c r="O83" s="235"/>
      <c r="P83" s="235"/>
      <c r="Q83" s="235"/>
      <c r="R83" s="235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15"/>
    </row>
    <row r="84" ht="14.25" customHeight="1" spans="1:90" x14ac:dyDescent="0.25">
      <c r="A84" s="322" t="s">
        <v>615</v>
      </c>
      <c r="B84" s="39" t="s">
        <v>869</v>
      </c>
      <c r="C84" s="322" t="s">
        <v>1422</v>
      </c>
      <c r="D84" s="322" t="s">
        <v>1060</v>
      </c>
      <c r="E84" s="308" t="s">
        <v>462</v>
      </c>
      <c r="F84" s="288" t="s">
        <v>1347</v>
      </c>
      <c r="G84" s="447">
        <v>46055</v>
      </c>
      <c r="H84" s="234"/>
      <c r="I84" s="234"/>
      <c r="J84" s="235"/>
      <c r="K84" s="235"/>
      <c r="L84" s="235"/>
      <c r="M84" s="235"/>
      <c r="N84" s="235"/>
      <c r="O84" s="235"/>
      <c r="P84" s="235"/>
      <c r="Q84" s="235"/>
      <c r="R84" s="235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15"/>
    </row>
    <row r="85" ht="14.25" customHeight="1" spans="1:90" x14ac:dyDescent="0.25">
      <c r="A85" s="322" t="s">
        <v>618</v>
      </c>
      <c r="B85" s="39" t="s">
        <v>869</v>
      </c>
      <c r="C85" s="322" t="s">
        <v>1423</v>
      </c>
      <c r="D85" s="322" t="s">
        <v>1424</v>
      </c>
      <c r="E85" s="322" t="s">
        <v>1425</v>
      </c>
      <c r="F85" s="288" t="s">
        <v>1347</v>
      </c>
      <c r="G85" s="447">
        <v>46055</v>
      </c>
      <c r="H85" s="234"/>
      <c r="I85" s="234"/>
      <c r="J85" s="235"/>
      <c r="K85" s="235"/>
      <c r="L85" s="235"/>
      <c r="M85" s="235"/>
      <c r="N85" s="235"/>
      <c r="O85" s="235"/>
      <c r="P85" s="235"/>
      <c r="Q85" s="235"/>
      <c r="R85" s="235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15"/>
    </row>
    <row r="86" ht="14.25" customHeight="1" spans="1:90" x14ac:dyDescent="0.25">
      <c r="A86" s="322" t="s">
        <v>532</v>
      </c>
      <c r="B86" s="39" t="s">
        <v>869</v>
      </c>
      <c r="C86" s="322" t="s">
        <v>1427</v>
      </c>
      <c r="D86" s="322" t="s">
        <v>1428</v>
      </c>
      <c r="E86" s="322" t="s">
        <v>630</v>
      </c>
      <c r="F86" s="287" t="s">
        <v>1326</v>
      </c>
      <c r="G86" s="447">
        <v>46077</v>
      </c>
      <c r="H86" s="234"/>
      <c r="I86" s="234"/>
      <c r="J86" s="235"/>
      <c r="K86" s="235"/>
      <c r="L86" s="235"/>
      <c r="M86" s="235"/>
      <c r="N86" s="235"/>
      <c r="O86" s="235"/>
      <c r="P86" s="235"/>
      <c r="Q86" s="235"/>
      <c r="R86" s="235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15"/>
    </row>
    <row r="87" ht="14.25" customHeight="1" spans="1:90" x14ac:dyDescent="0.25">
      <c r="A87" s="448" t="s">
        <v>382</v>
      </c>
      <c r="B87" s="436" t="s">
        <v>869</v>
      </c>
      <c r="C87" s="448" t="s">
        <v>1429</v>
      </c>
      <c r="D87" s="448" t="s">
        <v>1430</v>
      </c>
      <c r="E87" s="448" t="s">
        <v>630</v>
      </c>
      <c r="F87" s="449" t="s">
        <v>1347</v>
      </c>
      <c r="G87" s="450">
        <v>46086</v>
      </c>
      <c r="H87" s="451"/>
      <c r="I87" s="451"/>
      <c r="J87" s="431"/>
      <c r="K87" s="431"/>
      <c r="L87" s="431"/>
      <c r="M87" s="431"/>
      <c r="N87" s="431"/>
      <c r="O87" s="431"/>
      <c r="P87" s="431"/>
      <c r="Q87" s="431"/>
      <c r="R87" s="431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32"/>
      <c r="BR87" s="432"/>
      <c r="BS87" s="432"/>
      <c r="BT87" s="432"/>
      <c r="BU87" s="432"/>
      <c r="BV87" s="432"/>
      <c r="BW87" s="432"/>
      <c r="BX87" s="432"/>
      <c r="BY87" s="432"/>
      <c r="BZ87" s="432"/>
      <c r="CA87" s="432"/>
      <c r="CB87" s="432"/>
      <c r="CC87" s="432"/>
      <c r="CD87" s="452">
        <v>2.08</v>
      </c>
      <c r="CE87" s="432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15"/>
    </row>
    <row r="88" ht="14.25" customHeight="1" spans="1:90" x14ac:dyDescent="0.25">
      <c r="A88" s="372" t="s">
        <v>1480</v>
      </c>
      <c r="B88" s="373" t="s">
        <v>869</v>
      </c>
      <c r="C88" s="308" t="s">
        <v>1481</v>
      </c>
      <c r="D88" s="308"/>
      <c r="E88" s="308" t="s">
        <v>630</v>
      </c>
      <c r="F88" s="308" t="s">
        <v>1326</v>
      </c>
      <c r="G88" s="453">
        <v>46098</v>
      </c>
      <c r="H88" s="39" t="s">
        <v>44</v>
      </c>
      <c r="I88" s="234"/>
      <c r="J88" s="454">
        <v>46189</v>
      </c>
      <c r="K88" s="453">
        <v>33827</v>
      </c>
      <c r="L88" s="308" t="s">
        <v>1482</v>
      </c>
      <c r="M88" s="455"/>
      <c r="N88" s="456">
        <v>301051022256</v>
      </c>
      <c r="O88" s="457">
        <v>41131</v>
      </c>
      <c r="P88" s="453" t="s">
        <v>1483</v>
      </c>
      <c r="Q88" s="308" t="s">
        <v>1484</v>
      </c>
      <c r="R88" s="235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15"/>
    </row>
    <row r="89" ht="14.25" customHeight="1" spans="1:90" x14ac:dyDescent="0.25">
      <c r="A89" s="458" t="s">
        <v>1485</v>
      </c>
      <c r="B89" s="458" t="s">
        <v>869</v>
      </c>
      <c r="C89" s="459" t="s">
        <v>1029</v>
      </c>
      <c r="D89" s="459" t="s">
        <v>1486</v>
      </c>
      <c r="E89" s="460" t="s">
        <v>1487</v>
      </c>
      <c r="F89" s="287"/>
      <c r="G89" s="447"/>
      <c r="H89" s="234"/>
      <c r="I89" s="234"/>
      <c r="J89" s="235"/>
      <c r="K89" s="235"/>
      <c r="L89" s="235"/>
      <c r="M89" s="235"/>
      <c r="N89" s="235"/>
      <c r="O89" s="235"/>
      <c r="P89" s="235"/>
      <c r="Q89" s="235"/>
      <c r="R89" s="235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15"/>
    </row>
    <row r="90" ht="14.25" customHeight="1" spans="1:90" x14ac:dyDescent="0.25">
      <c r="A90" s="458" t="s">
        <v>508</v>
      </c>
      <c r="B90" s="461" t="s">
        <v>869</v>
      </c>
      <c r="C90" s="462" t="s">
        <v>1488</v>
      </c>
      <c r="D90" s="463" t="s">
        <v>1489</v>
      </c>
      <c r="E90" s="462" t="s">
        <v>462</v>
      </c>
      <c r="F90" s="287"/>
      <c r="G90" s="447"/>
      <c r="H90" s="234"/>
      <c r="I90" s="234"/>
      <c r="J90" s="235"/>
      <c r="K90" s="235"/>
      <c r="L90" s="235"/>
      <c r="M90" s="235"/>
      <c r="N90" s="235"/>
      <c r="O90" s="235"/>
      <c r="P90" s="235"/>
      <c r="Q90" s="235"/>
      <c r="R90" s="235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15"/>
    </row>
    <row r="91" ht="14.25" customHeight="1" spans="1:90" x14ac:dyDescent="0.25">
      <c r="A91" s="458" t="s">
        <v>506</v>
      </c>
      <c r="B91" s="461" t="s">
        <v>869</v>
      </c>
      <c r="C91" s="462" t="s">
        <v>1490</v>
      </c>
      <c r="D91" s="463" t="s">
        <v>1084</v>
      </c>
      <c r="E91" s="462" t="s">
        <v>462</v>
      </c>
      <c r="F91" s="287"/>
      <c r="G91" s="447"/>
      <c r="H91" s="234"/>
      <c r="I91" s="234"/>
      <c r="J91" s="235"/>
      <c r="K91" s="235"/>
      <c r="L91" s="235"/>
      <c r="M91" s="235"/>
      <c r="N91" s="235"/>
      <c r="O91" s="235"/>
      <c r="P91" s="235"/>
      <c r="Q91" s="235"/>
      <c r="R91" s="235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15"/>
    </row>
    <row r="92" ht="14.25" customHeight="1" spans="1:90" x14ac:dyDescent="0.25">
      <c r="A92" s="458" t="s">
        <v>501</v>
      </c>
      <c r="B92" s="461" t="s">
        <v>869</v>
      </c>
      <c r="C92" s="464" t="s">
        <v>1491</v>
      </c>
      <c r="D92" s="463" t="s">
        <v>1086</v>
      </c>
      <c r="E92" s="463" t="s">
        <v>462</v>
      </c>
      <c r="F92" s="287"/>
      <c r="G92" s="447"/>
      <c r="H92" s="234"/>
      <c r="I92" s="234"/>
      <c r="J92" s="235"/>
      <c r="K92" s="235"/>
      <c r="L92" s="235"/>
      <c r="M92" s="235"/>
      <c r="N92" s="235"/>
      <c r="O92" s="235"/>
      <c r="P92" s="235"/>
      <c r="Q92" s="235"/>
      <c r="R92" s="235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15"/>
    </row>
    <row r="93" ht="14.25" customHeight="1" spans="1:90" x14ac:dyDescent="0.25">
      <c r="A93" s="458" t="s">
        <v>498</v>
      </c>
      <c r="B93" s="461" t="s">
        <v>869</v>
      </c>
      <c r="C93" s="464" t="s">
        <v>1432</v>
      </c>
      <c r="D93" s="463" t="s">
        <v>1097</v>
      </c>
      <c r="E93" s="463" t="s">
        <v>499</v>
      </c>
      <c r="F93" s="287"/>
      <c r="G93" s="447"/>
      <c r="H93" s="234"/>
      <c r="I93" s="234"/>
      <c r="J93" s="235"/>
      <c r="K93" s="235"/>
      <c r="L93" s="235"/>
      <c r="M93" s="235"/>
      <c r="N93" s="235"/>
      <c r="O93" s="235"/>
      <c r="P93" s="235"/>
      <c r="Q93" s="235"/>
      <c r="R93" s="235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15"/>
    </row>
    <row r="94" ht="14.25" customHeight="1" spans="1:90" x14ac:dyDescent="0.25">
      <c r="A94" s="458" t="s">
        <v>1098</v>
      </c>
      <c r="B94" s="461" t="s">
        <v>869</v>
      </c>
      <c r="C94" s="464" t="s">
        <v>1099</v>
      </c>
      <c r="D94" s="463" t="s">
        <v>1100</v>
      </c>
      <c r="E94" s="463" t="s">
        <v>630</v>
      </c>
      <c r="F94" s="287"/>
      <c r="G94" s="447"/>
      <c r="H94" s="234"/>
      <c r="I94" s="234"/>
      <c r="J94" s="235"/>
      <c r="K94" s="235"/>
      <c r="L94" s="235"/>
      <c r="M94" s="235"/>
      <c r="N94" s="235"/>
      <c r="O94" s="235"/>
      <c r="P94" s="235"/>
      <c r="Q94" s="235"/>
      <c r="R94" s="235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15"/>
    </row>
    <row r="95" ht="14.25" customHeight="1" spans="1:90" x14ac:dyDescent="0.25">
      <c r="A95" s="458" t="s">
        <v>386</v>
      </c>
      <c r="B95" s="461" t="s">
        <v>869</v>
      </c>
      <c r="C95" s="464" t="s">
        <v>1101</v>
      </c>
      <c r="D95" s="463" t="s">
        <v>1102</v>
      </c>
      <c r="E95" s="463" t="s">
        <v>630</v>
      </c>
      <c r="F95" s="287"/>
      <c r="G95" s="447"/>
      <c r="H95" s="234"/>
      <c r="I95" s="234"/>
      <c r="J95" s="235"/>
      <c r="K95" s="235"/>
      <c r="L95" s="235"/>
      <c r="M95" s="235"/>
      <c r="N95" s="235"/>
      <c r="O95" s="235"/>
      <c r="P95" s="235"/>
      <c r="Q95" s="235"/>
      <c r="R95" s="235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15"/>
    </row>
    <row r="96" ht="14.25" customHeight="1" spans="1:90" x14ac:dyDescent="0.25">
      <c r="A96" s="458" t="s">
        <v>392</v>
      </c>
      <c r="B96" s="461" t="s">
        <v>869</v>
      </c>
      <c r="C96" s="464" t="s">
        <v>1120</v>
      </c>
      <c r="D96" s="463" t="s">
        <v>1104</v>
      </c>
      <c r="E96" s="463" t="s">
        <v>630</v>
      </c>
      <c r="F96" s="287"/>
      <c r="G96" s="447"/>
      <c r="H96" s="234"/>
      <c r="I96" s="234"/>
      <c r="J96" s="235"/>
      <c r="K96" s="235"/>
      <c r="L96" s="235"/>
      <c r="M96" s="235"/>
      <c r="N96" s="235"/>
      <c r="O96" s="235"/>
      <c r="P96" s="235"/>
      <c r="Q96" s="235"/>
      <c r="R96" s="235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15"/>
    </row>
    <row r="97" ht="14.25" customHeight="1" spans="1:90" x14ac:dyDescent="0.25">
      <c r="A97" s="399"/>
      <c r="B97" s="399"/>
      <c r="C97" s="399"/>
      <c r="D97" s="399"/>
      <c r="E97" s="399"/>
      <c r="F97" s="400"/>
      <c r="G97" s="401"/>
      <c r="H97" s="402"/>
      <c r="I97" s="402"/>
      <c r="J97" s="403"/>
      <c r="K97" s="403"/>
      <c r="L97" s="403"/>
      <c r="M97" s="403"/>
      <c r="N97" s="403"/>
      <c r="O97" s="403"/>
      <c r="P97" s="403"/>
      <c r="Q97" s="403"/>
      <c r="R97" s="403"/>
      <c r="CD97" s="404"/>
      <c r="CG97" s="404"/>
      <c r="CI97" s="405"/>
      <c r="CJ97" s="405"/>
      <c r="CK97" s="405"/>
      <c r="CL97" s="405"/>
    </row>
    <row r="98" ht="14.25" customHeight="1" spans="1:90" x14ac:dyDescent="0.25">
      <c r="A98" s="399"/>
      <c r="B98" s="399"/>
      <c r="C98" s="399"/>
      <c r="D98" s="399"/>
      <c r="E98" s="399"/>
      <c r="F98" s="400"/>
      <c r="G98" s="401"/>
      <c r="H98" s="402"/>
      <c r="I98" s="402"/>
      <c r="J98" s="403"/>
      <c r="K98" s="403"/>
      <c r="L98" s="403"/>
      <c r="M98" s="403"/>
      <c r="N98" s="403"/>
      <c r="O98" s="403"/>
      <c r="P98" s="403"/>
      <c r="Q98" s="403"/>
      <c r="R98" s="403"/>
      <c r="CD98" s="404"/>
      <c r="CG98" s="404"/>
      <c r="CI98" s="405"/>
      <c r="CJ98" s="405"/>
      <c r="CK98" s="405"/>
      <c r="CL98" s="405"/>
    </row>
    <row r="99" ht="14.25" customHeight="1" spans="1:90" x14ac:dyDescent="0.25">
      <c r="A99" s="399"/>
      <c r="B99" s="399"/>
      <c r="C99" s="399"/>
      <c r="D99" s="399"/>
      <c r="E99" s="399"/>
      <c r="F99" s="400"/>
      <c r="G99" s="401"/>
      <c r="H99" s="402"/>
      <c r="I99" s="402"/>
      <c r="J99" s="403"/>
      <c r="K99" s="403"/>
      <c r="L99" s="403"/>
      <c r="M99" s="403"/>
      <c r="N99" s="403"/>
      <c r="O99" s="403"/>
      <c r="P99" s="403"/>
      <c r="Q99" s="403"/>
      <c r="R99" s="403"/>
      <c r="CD99" s="404"/>
      <c r="CG99" s="404"/>
      <c r="CI99" s="405"/>
      <c r="CJ99" s="405"/>
      <c r="CK99" s="405"/>
      <c r="CL99" s="405"/>
    </row>
    <row r="100" ht="14.25" customHeight="1" spans="1:90" x14ac:dyDescent="0.25">
      <c r="A100" s="399"/>
      <c r="B100" s="399"/>
      <c r="C100" s="399"/>
      <c r="D100" s="399"/>
      <c r="E100" s="399"/>
      <c r="F100" s="400"/>
      <c r="G100" s="401"/>
      <c r="H100" s="402"/>
      <c r="I100" s="402"/>
      <c r="J100" s="403"/>
      <c r="K100" s="403"/>
      <c r="L100" s="403"/>
      <c r="M100" s="403"/>
      <c r="N100" s="403"/>
      <c r="O100" s="403"/>
      <c r="P100" s="403"/>
      <c r="Q100" s="403"/>
      <c r="R100" s="403"/>
      <c r="CD100" s="404"/>
      <c r="CG100" s="404"/>
      <c r="CI100" s="405"/>
      <c r="CJ100" s="405"/>
      <c r="CK100" s="405"/>
      <c r="CL100" s="405"/>
    </row>
    <row r="101" ht="14.25" customHeight="1" spans="1:90" x14ac:dyDescent="0.25">
      <c r="A101" s="399"/>
      <c r="B101" s="399"/>
      <c r="C101" s="399"/>
      <c r="D101" s="399"/>
      <c r="E101" s="399"/>
      <c r="F101" s="400"/>
      <c r="G101" s="401"/>
      <c r="H101" s="402"/>
      <c r="I101" s="402"/>
      <c r="J101" s="403"/>
      <c r="K101" s="403"/>
      <c r="L101" s="403"/>
      <c r="M101" s="403"/>
      <c r="N101" s="403"/>
      <c r="O101" s="403"/>
      <c r="P101" s="403"/>
      <c r="Q101" s="403"/>
      <c r="R101" s="403"/>
      <c r="CD101" s="404"/>
      <c r="CG101" s="404"/>
      <c r="CI101" s="405"/>
      <c r="CJ101" s="405"/>
      <c r="CK101" s="405"/>
      <c r="CL101" s="405"/>
    </row>
    <row r="102" ht="14.25" customHeight="1" spans="1:90" x14ac:dyDescent="0.25">
      <c r="A102" s="399"/>
      <c r="B102" s="399"/>
      <c r="C102" s="399"/>
      <c r="D102" s="399"/>
      <c r="E102" s="399"/>
      <c r="F102" s="400"/>
      <c r="G102" s="401"/>
      <c r="H102" s="402"/>
      <c r="I102" s="402"/>
      <c r="J102" s="403"/>
      <c r="K102" s="403"/>
      <c r="L102" s="403"/>
      <c r="M102" s="403"/>
      <c r="N102" s="403"/>
      <c r="O102" s="403"/>
      <c r="P102" s="403"/>
      <c r="Q102" s="403"/>
      <c r="R102" s="403"/>
      <c r="CD102" s="404"/>
      <c r="CG102" s="404"/>
      <c r="CI102" s="405"/>
      <c r="CJ102" s="405"/>
      <c r="CK102" s="405"/>
      <c r="CL102" s="405"/>
    </row>
    <row r="103" ht="14.25" customHeight="1" spans="1:90" x14ac:dyDescent="0.25">
      <c r="A103" s="399"/>
      <c r="B103" s="399"/>
      <c r="C103" s="399"/>
      <c r="D103" s="399"/>
      <c r="E103" s="399"/>
      <c r="F103" s="400"/>
      <c r="G103" s="401"/>
      <c r="H103" s="402"/>
      <c r="I103" s="402"/>
      <c r="J103" s="403"/>
      <c r="K103" s="403"/>
      <c r="L103" s="403"/>
      <c r="M103" s="403"/>
      <c r="N103" s="403"/>
      <c r="O103" s="403"/>
      <c r="P103" s="403"/>
      <c r="Q103" s="403"/>
      <c r="R103" s="403"/>
      <c r="CD103" s="404"/>
      <c r="CG103" s="404"/>
      <c r="CI103" s="405"/>
      <c r="CJ103" s="405"/>
      <c r="CK103" s="405"/>
      <c r="CL103" s="405"/>
    </row>
    <row r="104" ht="14.25" customHeight="1" spans="1:90" x14ac:dyDescent="0.25">
      <c r="A104" s="399"/>
      <c r="B104" s="399"/>
      <c r="C104" s="399"/>
      <c r="D104" s="399"/>
      <c r="E104" s="399"/>
      <c r="F104" s="400"/>
      <c r="G104" s="401"/>
      <c r="H104" s="402"/>
      <c r="I104" s="402"/>
      <c r="J104" s="403"/>
      <c r="K104" s="403"/>
      <c r="L104" s="403"/>
      <c r="M104" s="403"/>
      <c r="N104" s="403"/>
      <c r="O104" s="403"/>
      <c r="P104" s="403"/>
      <c r="Q104" s="403"/>
      <c r="R104" s="403"/>
      <c r="CD104" s="404"/>
      <c r="CG104" s="404"/>
      <c r="CI104" s="405"/>
      <c r="CJ104" s="405"/>
      <c r="CK104" s="405"/>
      <c r="CL104" s="405"/>
    </row>
    <row r="105" ht="14.25" customHeight="1" spans="1:90" x14ac:dyDescent="0.25">
      <c r="A105" s="399"/>
      <c r="B105" s="399"/>
      <c r="C105" s="399"/>
      <c r="D105" s="399"/>
      <c r="E105" s="399"/>
      <c r="F105" s="400"/>
      <c r="G105" s="401"/>
      <c r="H105" s="402"/>
      <c r="I105" s="402"/>
      <c r="J105" s="403"/>
      <c r="K105" s="403"/>
      <c r="L105" s="403"/>
      <c r="M105" s="403"/>
      <c r="N105" s="403"/>
      <c r="O105" s="403"/>
      <c r="P105" s="403"/>
      <c r="Q105" s="403"/>
      <c r="R105" s="403"/>
      <c r="CD105" s="404"/>
      <c r="CG105" s="404"/>
      <c r="CI105" s="405"/>
      <c r="CJ105" s="405"/>
      <c r="CK105" s="405"/>
      <c r="CL105" s="405"/>
    </row>
    <row r="106" ht="14.25" customHeight="1" spans="1:90" x14ac:dyDescent="0.25">
      <c r="A106" s="399"/>
      <c r="B106" s="399"/>
      <c r="C106" s="399"/>
      <c r="D106" s="399"/>
      <c r="E106" s="399"/>
      <c r="F106" s="400"/>
      <c r="G106" s="401"/>
      <c r="H106" s="402"/>
      <c r="I106" s="402"/>
      <c r="J106" s="403"/>
      <c r="K106" s="403"/>
      <c r="L106" s="403"/>
      <c r="M106" s="403"/>
      <c r="N106" s="403"/>
      <c r="O106" s="403"/>
      <c r="P106" s="403"/>
      <c r="Q106" s="403"/>
      <c r="R106" s="403"/>
      <c r="CD106" s="404"/>
      <c r="CG106" s="404"/>
      <c r="CI106" s="405"/>
      <c r="CJ106" s="405"/>
      <c r="CK106" s="405"/>
      <c r="CL106" s="405"/>
    </row>
    <row r="107" ht="14.25" customHeight="1" spans="1:90" x14ac:dyDescent="0.25">
      <c r="A107" s="399"/>
      <c r="B107" s="399"/>
      <c r="C107" s="399"/>
      <c r="D107" s="399"/>
      <c r="E107" s="399"/>
      <c r="F107" s="400"/>
      <c r="G107" s="401"/>
      <c r="H107" s="402"/>
      <c r="I107" s="402"/>
      <c r="J107" s="403"/>
      <c r="K107" s="403"/>
      <c r="L107" s="403"/>
      <c r="M107" s="403"/>
      <c r="N107" s="403"/>
      <c r="O107" s="403"/>
      <c r="P107" s="403"/>
      <c r="Q107" s="403"/>
      <c r="R107" s="403"/>
      <c r="CD107" s="404"/>
      <c r="CG107" s="404"/>
      <c r="CI107" s="405"/>
      <c r="CJ107" s="405"/>
      <c r="CK107" s="405"/>
      <c r="CL107" s="405"/>
    </row>
    <row r="108" ht="14.25" customHeight="1" spans="1:90" x14ac:dyDescent="0.25">
      <c r="A108" s="399"/>
      <c r="B108" s="399"/>
      <c r="C108" s="399"/>
      <c r="D108" s="399"/>
      <c r="E108" s="399"/>
      <c r="F108" s="400"/>
      <c r="G108" s="401"/>
      <c r="H108" s="402"/>
      <c r="I108" s="402"/>
      <c r="J108" s="403"/>
      <c r="K108" s="403"/>
      <c r="L108" s="403"/>
      <c r="M108" s="403"/>
      <c r="N108" s="403"/>
      <c r="O108" s="403"/>
      <c r="P108" s="403"/>
      <c r="Q108" s="403"/>
      <c r="R108" s="403"/>
      <c r="CD108" s="404"/>
      <c r="CG108" s="404"/>
      <c r="CI108" s="405"/>
      <c r="CJ108" s="405"/>
      <c r="CK108" s="405"/>
      <c r="CL108" s="405"/>
    </row>
    <row r="109" ht="14.25" customHeight="1" spans="1:90" x14ac:dyDescent="0.25">
      <c r="A109" s="399"/>
      <c r="B109" s="399"/>
      <c r="C109" s="399"/>
      <c r="D109" s="399"/>
      <c r="E109" s="399"/>
      <c r="F109" s="400"/>
      <c r="G109" s="401"/>
      <c r="H109" s="402"/>
      <c r="I109" s="402"/>
      <c r="J109" s="403"/>
      <c r="K109" s="403"/>
      <c r="L109" s="403"/>
      <c r="M109" s="403"/>
      <c r="N109" s="403"/>
      <c r="O109" s="403"/>
      <c r="P109" s="403"/>
      <c r="Q109" s="403"/>
      <c r="R109" s="403"/>
      <c r="CD109" s="404"/>
      <c r="CG109" s="404"/>
      <c r="CI109" s="405"/>
      <c r="CJ109" s="405"/>
      <c r="CK109" s="405"/>
      <c r="CL109" s="405"/>
    </row>
    <row r="110" ht="14.25" customHeight="1" spans="1:90" x14ac:dyDescent="0.25">
      <c r="A110" s="399"/>
      <c r="B110" s="399"/>
      <c r="C110" s="399"/>
      <c r="D110" s="399"/>
      <c r="E110" s="399"/>
      <c r="F110" s="400"/>
      <c r="G110" s="401"/>
      <c r="H110" s="402"/>
      <c r="I110" s="402"/>
      <c r="J110" s="403"/>
      <c r="K110" s="403"/>
      <c r="L110" s="403"/>
      <c r="M110" s="403"/>
      <c r="N110" s="403"/>
      <c r="O110" s="403"/>
      <c r="P110" s="403"/>
      <c r="Q110" s="403"/>
      <c r="R110" s="403"/>
      <c r="CD110" s="404"/>
      <c r="CG110" s="404"/>
      <c r="CI110" s="405"/>
      <c r="CJ110" s="405"/>
      <c r="CK110" s="405"/>
      <c r="CL110" s="405"/>
    </row>
    <row r="111" ht="14.25" customHeight="1" spans="1:90" x14ac:dyDescent="0.25">
      <c r="A111" s="399"/>
      <c r="B111" s="399"/>
      <c r="C111" s="399"/>
      <c r="D111" s="399"/>
      <c r="E111" s="399"/>
      <c r="F111" s="400"/>
      <c r="G111" s="401"/>
      <c r="H111" s="402"/>
      <c r="I111" s="402"/>
      <c r="J111" s="403"/>
      <c r="K111" s="403"/>
      <c r="L111" s="403"/>
      <c r="M111" s="403"/>
      <c r="N111" s="403"/>
      <c r="O111" s="403"/>
      <c r="P111" s="403"/>
      <c r="Q111" s="403"/>
      <c r="R111" s="403"/>
      <c r="CD111" s="404"/>
      <c r="CG111" s="404"/>
      <c r="CI111" s="405"/>
      <c r="CJ111" s="405"/>
      <c r="CK111" s="405"/>
      <c r="CL111" s="405"/>
    </row>
    <row r="112" ht="14.25" customHeight="1" spans="1:90" x14ac:dyDescent="0.25">
      <c r="A112" s="399"/>
      <c r="B112" s="399"/>
      <c r="C112" s="399"/>
      <c r="D112" s="399"/>
      <c r="E112" s="399"/>
      <c r="F112" s="400"/>
      <c r="G112" s="401"/>
      <c r="H112" s="402"/>
      <c r="I112" s="402"/>
      <c r="J112" s="403"/>
      <c r="K112" s="403"/>
      <c r="L112" s="403"/>
      <c r="M112" s="403"/>
      <c r="N112" s="403"/>
      <c r="O112" s="403"/>
      <c r="P112" s="403"/>
      <c r="Q112" s="403"/>
      <c r="R112" s="403"/>
      <c r="CD112" s="404"/>
      <c r="CG112" s="404"/>
      <c r="CI112" s="405"/>
      <c r="CJ112" s="405"/>
      <c r="CK112" s="405"/>
      <c r="CL112" s="405"/>
    </row>
    <row r="113" ht="14.25" customHeight="1" spans="1:90" x14ac:dyDescent="0.25">
      <c r="A113" s="399"/>
      <c r="B113" s="399"/>
      <c r="C113" s="399"/>
      <c r="D113" s="399"/>
      <c r="E113" s="399"/>
      <c r="F113" s="400"/>
      <c r="G113" s="401"/>
      <c r="H113" s="402"/>
      <c r="I113" s="402"/>
      <c r="J113" s="403"/>
      <c r="K113" s="403"/>
      <c r="L113" s="403"/>
      <c r="M113" s="403"/>
      <c r="N113" s="403"/>
      <c r="O113" s="403"/>
      <c r="P113" s="403"/>
      <c r="Q113" s="403"/>
      <c r="R113" s="403"/>
      <c r="CD113" s="404"/>
      <c r="CG113" s="404"/>
      <c r="CI113" s="405"/>
      <c r="CJ113" s="405"/>
      <c r="CK113" s="405"/>
      <c r="CL113" s="405"/>
    </row>
    <row r="114" ht="14.25" customHeight="1" spans="1:90" x14ac:dyDescent="0.25">
      <c r="A114" s="399"/>
      <c r="B114" s="399"/>
      <c r="C114" s="399"/>
      <c r="D114" s="399"/>
      <c r="E114" s="399"/>
      <c r="F114" s="400"/>
      <c r="G114" s="401"/>
      <c r="H114" s="402"/>
      <c r="I114" s="402"/>
      <c r="J114" s="403"/>
      <c r="K114" s="403"/>
      <c r="L114" s="403"/>
      <c r="M114" s="403"/>
      <c r="N114" s="403"/>
      <c r="O114" s="403"/>
      <c r="P114" s="403"/>
      <c r="Q114" s="403"/>
      <c r="R114" s="403"/>
      <c r="CD114" s="404"/>
      <c r="CG114" s="404"/>
      <c r="CI114" s="405"/>
      <c r="CJ114" s="405"/>
      <c r="CK114" s="405"/>
      <c r="CL114" s="405"/>
    </row>
    <row r="115" ht="14.25" customHeight="1" spans="1:90" x14ac:dyDescent="0.25">
      <c r="A115" s="399"/>
      <c r="B115" s="399"/>
      <c r="C115" s="399"/>
      <c r="D115" s="399"/>
      <c r="E115" s="399"/>
      <c r="F115" s="400"/>
      <c r="G115" s="401"/>
      <c r="H115" s="402"/>
      <c r="I115" s="402"/>
      <c r="J115" s="403"/>
      <c r="K115" s="403"/>
      <c r="L115" s="403"/>
      <c r="M115" s="403"/>
      <c r="N115" s="403"/>
      <c r="O115" s="403"/>
      <c r="P115" s="403"/>
      <c r="Q115" s="403"/>
      <c r="R115" s="403"/>
      <c r="CD115" s="404"/>
      <c r="CG115" s="404"/>
      <c r="CI115" s="405"/>
      <c r="CJ115" s="405"/>
      <c r="CK115" s="405"/>
      <c r="CL115" s="405"/>
    </row>
    <row r="116" ht="14.25" customHeight="1" spans="1:90" x14ac:dyDescent="0.25">
      <c r="A116" s="399"/>
      <c r="B116" s="399"/>
      <c r="C116" s="399"/>
      <c r="D116" s="399"/>
      <c r="E116" s="399"/>
      <c r="F116" s="400"/>
      <c r="G116" s="401"/>
      <c r="H116" s="402"/>
      <c r="I116" s="402"/>
      <c r="J116" s="403"/>
      <c r="K116" s="403"/>
      <c r="L116" s="403"/>
      <c r="M116" s="403"/>
      <c r="N116" s="403"/>
      <c r="O116" s="403"/>
      <c r="P116" s="403"/>
      <c r="Q116" s="403"/>
      <c r="R116" s="403"/>
      <c r="CD116" s="404"/>
      <c r="CG116" s="404"/>
      <c r="CI116" s="405"/>
      <c r="CJ116" s="405"/>
      <c r="CK116" s="405"/>
      <c r="CL116" s="405"/>
    </row>
    <row r="117" ht="14.25" customHeight="1" spans="1:90" x14ac:dyDescent="0.25">
      <c r="A117" s="399"/>
      <c r="B117" s="399"/>
      <c r="C117" s="399"/>
      <c r="D117" s="399"/>
      <c r="E117" s="399"/>
      <c r="F117" s="400"/>
      <c r="G117" s="401"/>
      <c r="H117" s="402"/>
      <c r="I117" s="402"/>
      <c r="J117" s="403"/>
      <c r="K117" s="403"/>
      <c r="L117" s="403"/>
      <c r="M117" s="403"/>
      <c r="N117" s="403"/>
      <c r="O117" s="403"/>
      <c r="P117" s="403"/>
      <c r="Q117" s="403"/>
      <c r="R117" s="403"/>
      <c r="CD117" s="404"/>
      <c r="CG117" s="404"/>
      <c r="CI117" s="405"/>
      <c r="CJ117" s="405"/>
      <c r="CK117" s="405"/>
      <c r="CL117" s="405"/>
    </row>
    <row r="118" ht="14.25" customHeight="1" spans="1:90" x14ac:dyDescent="0.25">
      <c r="A118" s="399"/>
      <c r="B118" s="399"/>
      <c r="C118" s="399"/>
      <c r="D118" s="399"/>
      <c r="E118" s="399"/>
      <c r="F118" s="400"/>
      <c r="G118" s="401"/>
      <c r="H118" s="402"/>
      <c r="I118" s="402"/>
      <c r="J118" s="403"/>
      <c r="K118" s="403"/>
      <c r="L118" s="403"/>
      <c r="M118" s="403"/>
      <c r="N118" s="403"/>
      <c r="O118" s="403"/>
      <c r="P118" s="403"/>
      <c r="Q118" s="403"/>
      <c r="R118" s="403"/>
      <c r="CD118" s="404"/>
      <c r="CG118" s="404"/>
      <c r="CI118" s="405"/>
      <c r="CJ118" s="405"/>
      <c r="CK118" s="405"/>
      <c r="CL118" s="405"/>
    </row>
    <row r="119" ht="14.25" customHeight="1" spans="1:90" x14ac:dyDescent="0.25">
      <c r="A119" s="399"/>
      <c r="B119" s="399"/>
      <c r="C119" s="399"/>
      <c r="D119" s="399"/>
      <c r="E119" s="399"/>
      <c r="F119" s="400"/>
      <c r="G119" s="401"/>
      <c r="H119" s="402"/>
      <c r="I119" s="402"/>
      <c r="J119" s="403"/>
      <c r="K119" s="403"/>
      <c r="L119" s="403"/>
      <c r="M119" s="403"/>
      <c r="N119" s="403"/>
      <c r="O119" s="403"/>
      <c r="P119" s="403"/>
      <c r="Q119" s="403"/>
      <c r="R119" s="403"/>
      <c r="CD119" s="404"/>
      <c r="CG119" s="404"/>
      <c r="CI119" s="405"/>
      <c r="CJ119" s="405"/>
      <c r="CK119" s="405"/>
      <c r="CL119" s="405"/>
    </row>
    <row r="120" ht="14.25" customHeight="1" spans="1:90" x14ac:dyDescent="0.25">
      <c r="A120" s="399"/>
      <c r="B120" s="399"/>
      <c r="C120" s="399"/>
      <c r="D120" s="399"/>
      <c r="E120" s="399"/>
      <c r="F120" s="400"/>
      <c r="G120" s="401"/>
      <c r="H120" s="402"/>
      <c r="I120" s="402"/>
      <c r="J120" s="403"/>
      <c r="K120" s="403"/>
      <c r="L120" s="403"/>
      <c r="M120" s="403"/>
      <c r="N120" s="403"/>
      <c r="O120" s="403"/>
      <c r="P120" s="403"/>
      <c r="Q120" s="403"/>
      <c r="R120" s="403"/>
      <c r="CD120" s="404"/>
      <c r="CG120" s="404"/>
      <c r="CI120" s="405"/>
      <c r="CJ120" s="405"/>
      <c r="CK120" s="405"/>
      <c r="CL120" s="405"/>
    </row>
    <row r="121" ht="14.25" customHeight="1" spans="1:90" x14ac:dyDescent="0.25">
      <c r="A121" s="399"/>
      <c r="B121" s="399"/>
      <c r="C121" s="399"/>
      <c r="D121" s="399"/>
      <c r="E121" s="399"/>
      <c r="F121" s="400"/>
      <c r="G121" s="401"/>
      <c r="H121" s="402"/>
      <c r="I121" s="402"/>
      <c r="J121" s="403"/>
      <c r="K121" s="403"/>
      <c r="L121" s="403"/>
      <c r="M121" s="403"/>
      <c r="N121" s="403"/>
      <c r="O121" s="403"/>
      <c r="P121" s="403"/>
      <c r="Q121" s="403"/>
      <c r="R121" s="403"/>
      <c r="CD121" s="404"/>
      <c r="CG121" s="404"/>
      <c r="CI121" s="405"/>
      <c r="CJ121" s="405"/>
      <c r="CK121" s="405"/>
      <c r="CL121" s="405"/>
    </row>
    <row r="122" ht="14.25" customHeight="1" spans="1:90" x14ac:dyDescent="0.25">
      <c r="A122" s="399"/>
      <c r="B122" s="399"/>
      <c r="C122" s="399"/>
      <c r="D122" s="399"/>
      <c r="E122" s="399"/>
      <c r="F122" s="400"/>
      <c r="G122" s="401"/>
      <c r="H122" s="402"/>
      <c r="I122" s="402"/>
      <c r="J122" s="403"/>
      <c r="K122" s="403"/>
      <c r="L122" s="403"/>
      <c r="M122" s="403"/>
      <c r="N122" s="403"/>
      <c r="O122" s="403"/>
      <c r="P122" s="403"/>
      <c r="Q122" s="403"/>
      <c r="R122" s="403"/>
      <c r="CD122" s="404"/>
      <c r="CG122" s="404"/>
      <c r="CI122" s="405"/>
      <c r="CJ122" s="405"/>
      <c r="CK122" s="405"/>
      <c r="CL122" s="405"/>
    </row>
    <row r="123" ht="14.25" customHeight="1" spans="1:90" x14ac:dyDescent="0.25">
      <c r="A123" s="399"/>
      <c r="B123" s="399"/>
      <c r="C123" s="399"/>
      <c r="D123" s="399"/>
      <c r="E123" s="399"/>
      <c r="F123" s="400"/>
      <c r="G123" s="401"/>
      <c r="H123" s="402"/>
      <c r="I123" s="402"/>
      <c r="J123" s="403"/>
      <c r="K123" s="403"/>
      <c r="L123" s="403"/>
      <c r="M123" s="403"/>
      <c r="N123" s="403"/>
      <c r="O123" s="403"/>
      <c r="P123" s="403"/>
      <c r="Q123" s="403"/>
      <c r="R123" s="403"/>
      <c r="CD123" s="404"/>
      <c r="CG123" s="404"/>
      <c r="CI123" s="405"/>
      <c r="CJ123" s="405"/>
      <c r="CK123" s="405"/>
      <c r="CL123" s="405"/>
    </row>
    <row r="124" ht="14.25" customHeight="1" spans="1:90" x14ac:dyDescent="0.25">
      <c r="A124" s="399"/>
      <c r="B124" s="399"/>
      <c r="C124" s="399"/>
      <c r="D124" s="399"/>
      <c r="E124" s="399"/>
      <c r="F124" s="400"/>
      <c r="G124" s="401"/>
      <c r="H124" s="402"/>
      <c r="I124" s="402"/>
      <c r="J124" s="403"/>
      <c r="K124" s="403"/>
      <c r="L124" s="403"/>
      <c r="M124" s="403"/>
      <c r="N124" s="403"/>
      <c r="O124" s="403"/>
      <c r="P124" s="403"/>
      <c r="Q124" s="403"/>
      <c r="R124" s="403"/>
      <c r="CD124" s="404"/>
      <c r="CG124" s="404"/>
      <c r="CI124" s="405"/>
      <c r="CJ124" s="405"/>
      <c r="CK124" s="405"/>
      <c r="CL124" s="405"/>
    </row>
    <row r="125" ht="14.25" customHeight="1" spans="1:90" x14ac:dyDescent="0.25">
      <c r="A125" s="399"/>
      <c r="B125" s="399"/>
      <c r="C125" s="399"/>
      <c r="D125" s="399"/>
      <c r="E125" s="399"/>
      <c r="F125" s="400"/>
      <c r="G125" s="401"/>
      <c r="H125" s="402"/>
      <c r="I125" s="402"/>
      <c r="J125" s="403"/>
      <c r="K125" s="403"/>
      <c r="L125" s="403"/>
      <c r="M125" s="403"/>
      <c r="N125" s="403"/>
      <c r="O125" s="403"/>
      <c r="P125" s="403"/>
      <c r="Q125" s="403"/>
      <c r="R125" s="403"/>
      <c r="CD125" s="404"/>
      <c r="CG125" s="404"/>
      <c r="CI125" s="405"/>
      <c r="CJ125" s="405"/>
      <c r="CK125" s="405"/>
      <c r="CL125" s="405"/>
    </row>
    <row r="126" ht="14.25" customHeight="1" spans="1:90" x14ac:dyDescent="0.25">
      <c r="A126" s="399"/>
      <c r="B126" s="399"/>
      <c r="C126" s="399"/>
      <c r="D126" s="399"/>
      <c r="E126" s="399"/>
      <c r="F126" s="400"/>
      <c r="G126" s="401"/>
      <c r="H126" s="402"/>
      <c r="I126" s="402"/>
      <c r="J126" s="403"/>
      <c r="K126" s="403"/>
      <c r="L126" s="403"/>
      <c r="M126" s="403"/>
      <c r="N126" s="403"/>
      <c r="O126" s="403"/>
      <c r="P126" s="403"/>
      <c r="Q126" s="403"/>
      <c r="R126" s="403"/>
      <c r="CD126" s="404"/>
      <c r="CG126" s="404"/>
      <c r="CI126" s="405"/>
      <c r="CJ126" s="405"/>
      <c r="CK126" s="405"/>
      <c r="CL126" s="405"/>
    </row>
    <row r="127" ht="14.25" customHeight="1" spans="1:90" x14ac:dyDescent="0.25">
      <c r="A127" s="399"/>
      <c r="B127" s="399"/>
      <c r="C127" s="399"/>
      <c r="D127" s="399"/>
      <c r="E127" s="399"/>
      <c r="F127" s="400"/>
      <c r="G127" s="401"/>
      <c r="H127" s="402"/>
      <c r="I127" s="402"/>
      <c r="J127" s="403"/>
      <c r="K127" s="403"/>
      <c r="L127" s="403"/>
      <c r="M127" s="403"/>
      <c r="N127" s="403"/>
      <c r="O127" s="403"/>
      <c r="P127" s="403"/>
      <c r="Q127" s="403"/>
      <c r="R127" s="403"/>
      <c r="CD127" s="404"/>
      <c r="CG127" s="404"/>
      <c r="CI127" s="405"/>
      <c r="CJ127" s="405"/>
      <c r="CK127" s="405"/>
      <c r="CL127" s="405"/>
    </row>
    <row r="128" ht="14.25" customHeight="1" spans="1:90" x14ac:dyDescent="0.25">
      <c r="A128" s="399"/>
      <c r="B128" s="399"/>
      <c r="C128" s="399"/>
      <c r="D128" s="399"/>
      <c r="E128" s="399"/>
      <c r="F128" s="400"/>
      <c r="G128" s="401"/>
      <c r="H128" s="402"/>
      <c r="I128" s="402"/>
      <c r="J128" s="403"/>
      <c r="K128" s="403"/>
      <c r="L128" s="403"/>
      <c r="M128" s="403"/>
      <c r="N128" s="403"/>
      <c r="O128" s="403"/>
      <c r="P128" s="403"/>
      <c r="Q128" s="403"/>
      <c r="R128" s="403"/>
      <c r="CD128" s="404"/>
      <c r="CG128" s="404"/>
      <c r="CI128" s="405"/>
      <c r="CJ128" s="405"/>
      <c r="CK128" s="405"/>
      <c r="CL128" s="405"/>
    </row>
    <row r="129" ht="14.25" customHeight="1" spans="1:90" x14ac:dyDescent="0.25">
      <c r="A129" s="399"/>
      <c r="B129" s="399"/>
      <c r="C129" s="399"/>
      <c r="D129" s="399"/>
      <c r="E129" s="399"/>
      <c r="F129" s="400"/>
      <c r="G129" s="401"/>
      <c r="H129" s="402"/>
      <c r="I129" s="402"/>
      <c r="J129" s="403"/>
      <c r="K129" s="403"/>
      <c r="L129" s="403"/>
      <c r="M129" s="403"/>
      <c r="N129" s="403"/>
      <c r="O129" s="403"/>
      <c r="P129" s="403"/>
      <c r="Q129" s="403"/>
      <c r="R129" s="403"/>
      <c r="CD129" s="404"/>
      <c r="CG129" s="404"/>
      <c r="CI129" s="405"/>
      <c r="CJ129" s="405"/>
      <c r="CK129" s="405"/>
      <c r="CL129" s="405"/>
    </row>
    <row r="130" ht="14.25" customHeight="1" spans="1:90" x14ac:dyDescent="0.25">
      <c r="A130" s="399"/>
      <c r="B130" s="399"/>
      <c r="C130" s="399"/>
      <c r="D130" s="399"/>
      <c r="E130" s="399"/>
      <c r="F130" s="400"/>
      <c r="G130" s="401"/>
      <c r="H130" s="402"/>
      <c r="I130" s="402"/>
      <c r="J130" s="403"/>
      <c r="K130" s="403"/>
      <c r="L130" s="403"/>
      <c r="M130" s="403"/>
      <c r="N130" s="403"/>
      <c r="O130" s="403"/>
      <c r="P130" s="403"/>
      <c r="Q130" s="403"/>
      <c r="R130" s="403"/>
      <c r="CD130" s="404"/>
      <c r="CG130" s="404"/>
      <c r="CI130" s="405"/>
      <c r="CJ130" s="405"/>
      <c r="CK130" s="405"/>
      <c r="CL130" s="405"/>
    </row>
    <row r="131" ht="14.25" customHeight="1" spans="1:90" x14ac:dyDescent="0.25">
      <c r="A131" s="399"/>
      <c r="B131" s="399"/>
      <c r="C131" s="399"/>
      <c r="D131" s="399"/>
      <c r="E131" s="399"/>
      <c r="F131" s="400"/>
      <c r="G131" s="401"/>
      <c r="H131" s="402"/>
      <c r="I131" s="402"/>
      <c r="J131" s="403"/>
      <c r="K131" s="403"/>
      <c r="L131" s="403"/>
      <c r="M131" s="403"/>
      <c r="N131" s="403"/>
      <c r="O131" s="403"/>
      <c r="P131" s="403"/>
      <c r="Q131" s="403"/>
      <c r="R131" s="403"/>
      <c r="CD131" s="404"/>
      <c r="CG131" s="404"/>
      <c r="CI131" s="405"/>
      <c r="CJ131" s="405"/>
      <c r="CK131" s="405"/>
      <c r="CL131" s="405"/>
    </row>
    <row r="132" ht="14.25" customHeight="1" spans="1:90" x14ac:dyDescent="0.25">
      <c r="A132" s="399"/>
      <c r="B132" s="399"/>
      <c r="C132" s="399"/>
      <c r="D132" s="399"/>
      <c r="E132" s="399"/>
      <c r="F132" s="400"/>
      <c r="G132" s="401"/>
      <c r="H132" s="402"/>
      <c r="I132" s="402"/>
      <c r="J132" s="403"/>
      <c r="K132" s="403"/>
      <c r="L132" s="403"/>
      <c r="M132" s="403"/>
      <c r="N132" s="403"/>
      <c r="O132" s="403"/>
      <c r="P132" s="403"/>
      <c r="Q132" s="403"/>
      <c r="R132" s="403"/>
      <c r="CD132" s="404"/>
      <c r="CG132" s="404"/>
      <c r="CI132" s="405"/>
      <c r="CJ132" s="405"/>
      <c r="CK132" s="405"/>
      <c r="CL132" s="405"/>
    </row>
    <row r="133" ht="14.25" customHeight="1" spans="1:90" x14ac:dyDescent="0.25">
      <c r="A133" s="399"/>
      <c r="B133" s="399"/>
      <c r="C133" s="399"/>
      <c r="D133" s="399"/>
      <c r="E133" s="399"/>
      <c r="F133" s="400"/>
      <c r="G133" s="401"/>
      <c r="H133" s="402"/>
      <c r="I133" s="402"/>
      <c r="J133" s="403"/>
      <c r="K133" s="403"/>
      <c r="L133" s="403"/>
      <c r="M133" s="403"/>
      <c r="N133" s="403"/>
      <c r="O133" s="403"/>
      <c r="P133" s="403"/>
      <c r="Q133" s="403"/>
      <c r="R133" s="403"/>
      <c r="CD133" s="404"/>
      <c r="CG133" s="404"/>
      <c r="CI133" s="405"/>
      <c r="CJ133" s="405"/>
      <c r="CK133" s="405"/>
      <c r="CL133" s="405"/>
    </row>
    <row r="134" ht="14.25" customHeight="1" spans="1:90" x14ac:dyDescent="0.25">
      <c r="A134" s="399"/>
      <c r="B134" s="399"/>
      <c r="C134" s="399"/>
      <c r="D134" s="399"/>
      <c r="E134" s="399"/>
      <c r="F134" s="400"/>
      <c r="G134" s="401"/>
      <c r="H134" s="402"/>
      <c r="I134" s="402"/>
      <c r="J134" s="403"/>
      <c r="K134" s="403"/>
      <c r="L134" s="403"/>
      <c r="M134" s="403"/>
      <c r="N134" s="403"/>
      <c r="O134" s="403"/>
      <c r="P134" s="403"/>
      <c r="Q134" s="403"/>
      <c r="R134" s="403"/>
      <c r="CD134" s="404"/>
      <c r="CG134" s="404"/>
      <c r="CI134" s="405"/>
      <c r="CJ134" s="405"/>
      <c r="CK134" s="405"/>
      <c r="CL134" s="405"/>
    </row>
    <row r="135" ht="14.25" customHeight="1" spans="1:90" x14ac:dyDescent="0.25">
      <c r="A135" s="399"/>
      <c r="B135" s="399"/>
      <c r="C135" s="399"/>
      <c r="D135" s="399"/>
      <c r="E135" s="399"/>
      <c r="F135" s="400"/>
      <c r="G135" s="401"/>
      <c r="H135" s="402"/>
      <c r="I135" s="402"/>
      <c r="J135" s="403"/>
      <c r="K135" s="403"/>
      <c r="L135" s="403"/>
      <c r="M135" s="403"/>
      <c r="N135" s="403"/>
      <c r="O135" s="403"/>
      <c r="P135" s="403"/>
      <c r="Q135" s="403"/>
      <c r="R135" s="403"/>
      <c r="CD135" s="404"/>
      <c r="CG135" s="404"/>
      <c r="CI135" s="405"/>
      <c r="CJ135" s="405"/>
      <c r="CK135" s="405"/>
      <c r="CL135" s="405"/>
    </row>
    <row r="136" ht="14.25" customHeight="1" spans="1:90" x14ac:dyDescent="0.25">
      <c r="A136" s="399"/>
      <c r="B136" s="399"/>
      <c r="C136" s="399"/>
      <c r="D136" s="399"/>
      <c r="E136" s="399"/>
      <c r="F136" s="400"/>
      <c r="G136" s="401"/>
      <c r="H136" s="402"/>
      <c r="I136" s="402"/>
      <c r="J136" s="403"/>
      <c r="K136" s="403"/>
      <c r="L136" s="403"/>
      <c r="M136" s="403"/>
      <c r="N136" s="403"/>
      <c r="O136" s="403"/>
      <c r="P136" s="403"/>
      <c r="Q136" s="403"/>
      <c r="R136" s="403"/>
      <c r="CD136" s="404"/>
      <c r="CG136" s="404"/>
      <c r="CI136" s="405"/>
      <c r="CJ136" s="405"/>
      <c r="CK136" s="405"/>
      <c r="CL136" s="405"/>
    </row>
    <row r="137" ht="14.25" customHeight="1" spans="1:90" x14ac:dyDescent="0.25">
      <c r="A137" s="399"/>
      <c r="B137" s="399"/>
      <c r="C137" s="399"/>
      <c r="D137" s="399"/>
      <c r="E137" s="399"/>
      <c r="F137" s="400"/>
      <c r="G137" s="401"/>
      <c r="H137" s="402"/>
      <c r="I137" s="402"/>
      <c r="J137" s="403"/>
      <c r="K137" s="403"/>
      <c r="L137" s="403"/>
      <c r="M137" s="403"/>
      <c r="N137" s="403"/>
      <c r="O137" s="403"/>
      <c r="P137" s="403"/>
      <c r="Q137" s="403"/>
      <c r="R137" s="403"/>
      <c r="CD137" s="404"/>
      <c r="CG137" s="404"/>
      <c r="CI137" s="405"/>
      <c r="CJ137" s="405"/>
      <c r="CK137" s="405"/>
      <c r="CL137" s="405"/>
    </row>
    <row r="138" ht="14.25" customHeight="1" spans="1:90" x14ac:dyDescent="0.25">
      <c r="A138" s="399"/>
      <c r="B138" s="399"/>
      <c r="C138" s="399"/>
      <c r="D138" s="399"/>
      <c r="E138" s="399"/>
      <c r="F138" s="400"/>
      <c r="G138" s="401"/>
      <c r="H138" s="402"/>
      <c r="I138" s="402"/>
      <c r="J138" s="403"/>
      <c r="K138" s="403"/>
      <c r="L138" s="403"/>
      <c r="M138" s="403"/>
      <c r="N138" s="403"/>
      <c r="O138" s="403"/>
      <c r="P138" s="403"/>
      <c r="Q138" s="403"/>
      <c r="R138" s="403"/>
      <c r="CD138" s="404"/>
      <c r="CG138" s="404"/>
      <c r="CI138" s="405"/>
      <c r="CJ138" s="405"/>
      <c r="CK138" s="405"/>
      <c r="CL138" s="405"/>
    </row>
    <row r="139" ht="14.25" customHeight="1" spans="1:90" x14ac:dyDescent="0.25">
      <c r="A139" s="399"/>
      <c r="B139" s="399"/>
      <c r="C139" s="399"/>
      <c r="D139" s="399"/>
      <c r="E139" s="399"/>
      <c r="F139" s="400"/>
      <c r="G139" s="401"/>
      <c r="H139" s="402"/>
      <c r="I139" s="402"/>
      <c r="J139" s="403"/>
      <c r="K139" s="403"/>
      <c r="L139" s="403"/>
      <c r="M139" s="403"/>
      <c r="N139" s="403"/>
      <c r="O139" s="403"/>
      <c r="P139" s="403"/>
      <c r="Q139" s="403"/>
      <c r="R139" s="403"/>
      <c r="CD139" s="404"/>
      <c r="CG139" s="404"/>
      <c r="CI139" s="405"/>
      <c r="CJ139" s="405"/>
      <c r="CK139" s="405"/>
      <c r="CL139" s="405"/>
    </row>
    <row r="140" ht="14.25" customHeight="1" spans="1:90" x14ac:dyDescent="0.25">
      <c r="A140" s="399"/>
      <c r="B140" s="399"/>
      <c r="C140" s="399"/>
      <c r="D140" s="399"/>
      <c r="E140" s="399"/>
      <c r="F140" s="400"/>
      <c r="G140" s="401"/>
      <c r="H140" s="402"/>
      <c r="I140" s="402"/>
      <c r="J140" s="403"/>
      <c r="K140" s="403"/>
      <c r="L140" s="403"/>
      <c r="M140" s="403"/>
      <c r="N140" s="403"/>
      <c r="O140" s="403"/>
      <c r="P140" s="403"/>
      <c r="Q140" s="403"/>
      <c r="R140" s="403"/>
      <c r="CD140" s="404"/>
      <c r="CG140" s="404"/>
      <c r="CI140" s="405"/>
      <c r="CJ140" s="405"/>
      <c r="CK140" s="405"/>
      <c r="CL140" s="405"/>
    </row>
    <row r="141" ht="14.25" customHeight="1" spans="1:90" x14ac:dyDescent="0.25">
      <c r="A141" s="399"/>
      <c r="B141" s="399"/>
      <c r="C141" s="399"/>
      <c r="D141" s="399"/>
      <c r="E141" s="399"/>
      <c r="F141" s="400"/>
      <c r="G141" s="401"/>
      <c r="H141" s="402"/>
      <c r="I141" s="402"/>
      <c r="J141" s="403"/>
      <c r="K141" s="403"/>
      <c r="L141" s="403"/>
      <c r="M141" s="403"/>
      <c r="N141" s="403"/>
      <c r="O141" s="403"/>
      <c r="P141" s="403"/>
      <c r="Q141" s="403"/>
      <c r="R141" s="403"/>
      <c r="CD141" s="404"/>
      <c r="CG141" s="404"/>
      <c r="CI141" s="405"/>
      <c r="CJ141" s="405"/>
      <c r="CK141" s="405"/>
      <c r="CL141" s="405"/>
    </row>
    <row r="142" ht="14.25" customHeight="1" spans="1:90" x14ac:dyDescent="0.25">
      <c r="A142" s="399"/>
      <c r="B142" s="399"/>
      <c r="C142" s="399"/>
      <c r="D142" s="399"/>
      <c r="E142" s="399"/>
      <c r="F142" s="400"/>
      <c r="G142" s="401"/>
      <c r="H142" s="402"/>
      <c r="I142" s="402"/>
      <c r="J142" s="403"/>
      <c r="K142" s="403"/>
      <c r="L142" s="403"/>
      <c r="M142" s="403"/>
      <c r="N142" s="403"/>
      <c r="O142" s="403"/>
      <c r="P142" s="403"/>
      <c r="Q142" s="403"/>
      <c r="R142" s="403"/>
      <c r="CD142" s="404"/>
      <c r="CG142" s="404"/>
      <c r="CI142" s="405"/>
      <c r="CJ142" s="405"/>
      <c r="CK142" s="405"/>
      <c r="CL142" s="405"/>
    </row>
    <row r="143" ht="14.25" customHeight="1" spans="1:90" x14ac:dyDescent="0.25">
      <c r="A143" s="399"/>
      <c r="B143" s="399"/>
      <c r="C143" s="399"/>
      <c r="D143" s="399"/>
      <c r="E143" s="399"/>
      <c r="F143" s="400"/>
      <c r="G143" s="401"/>
      <c r="H143" s="402"/>
      <c r="I143" s="402"/>
      <c r="J143" s="403"/>
      <c r="K143" s="403"/>
      <c r="L143" s="403"/>
      <c r="M143" s="403"/>
      <c r="N143" s="403"/>
      <c r="O143" s="403"/>
      <c r="P143" s="403"/>
      <c r="Q143" s="403"/>
      <c r="R143" s="403"/>
      <c r="CD143" s="404"/>
      <c r="CG143" s="404"/>
      <c r="CI143" s="405"/>
      <c r="CJ143" s="405"/>
      <c r="CK143" s="405"/>
      <c r="CL143" s="405"/>
    </row>
    <row r="144" ht="14.25" customHeight="1" spans="1:90" x14ac:dyDescent="0.25">
      <c r="A144" s="399"/>
      <c r="B144" s="399"/>
      <c r="C144" s="399"/>
      <c r="D144" s="399"/>
      <c r="E144" s="399"/>
      <c r="F144" s="400"/>
      <c r="G144" s="401"/>
      <c r="H144" s="402"/>
      <c r="I144" s="402"/>
      <c r="J144" s="403"/>
      <c r="K144" s="403"/>
      <c r="L144" s="403"/>
      <c r="M144" s="403"/>
      <c r="N144" s="403"/>
      <c r="O144" s="403"/>
      <c r="P144" s="403"/>
      <c r="Q144" s="403"/>
      <c r="R144" s="403"/>
      <c r="CD144" s="404"/>
      <c r="CG144" s="404"/>
      <c r="CI144" s="405"/>
      <c r="CJ144" s="405"/>
      <c r="CK144" s="405"/>
      <c r="CL144" s="405"/>
    </row>
    <row r="145" ht="14.25" customHeight="1" spans="1:90" x14ac:dyDescent="0.25">
      <c r="A145" s="399"/>
      <c r="B145" s="399"/>
      <c r="C145" s="399"/>
      <c r="D145" s="399"/>
      <c r="E145" s="399"/>
      <c r="F145" s="400"/>
      <c r="G145" s="401"/>
      <c r="H145" s="402"/>
      <c r="I145" s="402"/>
      <c r="J145" s="403"/>
      <c r="K145" s="403"/>
      <c r="L145" s="403"/>
      <c r="M145" s="403"/>
      <c r="N145" s="403"/>
      <c r="O145" s="403"/>
      <c r="P145" s="403"/>
      <c r="Q145" s="403"/>
      <c r="R145" s="403"/>
      <c r="CD145" s="404"/>
      <c r="CG145" s="404"/>
      <c r="CI145" s="405"/>
      <c r="CJ145" s="405"/>
      <c r="CK145" s="405"/>
      <c r="CL145" s="405"/>
    </row>
    <row r="146" ht="14.25" customHeight="1" spans="1:90" x14ac:dyDescent="0.25">
      <c r="A146" s="399"/>
      <c r="B146" s="399"/>
      <c r="C146" s="399"/>
      <c r="D146" s="399"/>
      <c r="E146" s="399"/>
      <c r="F146" s="400"/>
      <c r="G146" s="401"/>
      <c r="H146" s="402"/>
      <c r="I146" s="402"/>
      <c r="J146" s="403"/>
      <c r="K146" s="403"/>
      <c r="L146" s="403"/>
      <c r="M146" s="403"/>
      <c r="N146" s="403"/>
      <c r="O146" s="403"/>
      <c r="P146" s="403"/>
      <c r="Q146" s="403"/>
      <c r="R146" s="403"/>
      <c r="CD146" s="404"/>
      <c r="CG146" s="404"/>
      <c r="CI146" s="405"/>
      <c r="CJ146" s="405"/>
      <c r="CK146" s="405"/>
      <c r="CL146" s="405"/>
    </row>
    <row r="147" ht="14.25" customHeight="1" spans="1:90" x14ac:dyDescent="0.25">
      <c r="A147" s="399"/>
      <c r="B147" s="399"/>
      <c r="C147" s="399"/>
      <c r="D147" s="399"/>
      <c r="E147" s="399"/>
      <c r="F147" s="400"/>
      <c r="G147" s="401"/>
      <c r="H147" s="402"/>
      <c r="I147" s="402"/>
      <c r="J147" s="403"/>
      <c r="K147" s="403"/>
      <c r="L147" s="403"/>
      <c r="M147" s="403"/>
      <c r="N147" s="403"/>
      <c r="O147" s="403"/>
      <c r="P147" s="403"/>
      <c r="Q147" s="403"/>
      <c r="R147" s="403"/>
      <c r="CD147" s="404"/>
      <c r="CG147" s="404"/>
      <c r="CI147" s="405"/>
      <c r="CJ147" s="405"/>
      <c r="CK147" s="405"/>
      <c r="CL147" s="405"/>
    </row>
    <row r="148" ht="14.25" customHeight="1" spans="1:90" x14ac:dyDescent="0.25">
      <c r="A148" s="399"/>
      <c r="B148" s="399"/>
      <c r="C148" s="399"/>
      <c r="D148" s="399"/>
      <c r="E148" s="399"/>
      <c r="F148" s="400"/>
      <c r="G148" s="401"/>
      <c r="H148" s="402"/>
      <c r="I148" s="402"/>
      <c r="J148" s="403"/>
      <c r="K148" s="403"/>
      <c r="L148" s="403"/>
      <c r="M148" s="403"/>
      <c r="N148" s="403"/>
      <c r="O148" s="403"/>
      <c r="P148" s="403"/>
      <c r="Q148" s="403"/>
      <c r="R148" s="403"/>
      <c r="CD148" s="404"/>
      <c r="CG148" s="404"/>
      <c r="CI148" s="405"/>
      <c r="CJ148" s="405"/>
      <c r="CK148" s="405"/>
      <c r="CL148" s="405"/>
    </row>
    <row r="149" ht="14.25" customHeight="1" spans="1:90" x14ac:dyDescent="0.25">
      <c r="A149" s="399"/>
      <c r="B149" s="399"/>
      <c r="C149" s="399"/>
      <c r="D149" s="399"/>
      <c r="E149" s="399"/>
      <c r="F149" s="400"/>
      <c r="G149" s="401"/>
      <c r="H149" s="402"/>
      <c r="I149" s="402"/>
      <c r="J149" s="403"/>
      <c r="K149" s="403"/>
      <c r="L149" s="403"/>
      <c r="M149" s="403"/>
      <c r="N149" s="403"/>
      <c r="O149" s="403"/>
      <c r="P149" s="403"/>
      <c r="Q149" s="403"/>
      <c r="R149" s="403"/>
      <c r="CD149" s="404"/>
      <c r="CG149" s="404"/>
      <c r="CI149" s="405"/>
      <c r="CJ149" s="405"/>
      <c r="CK149" s="405"/>
      <c r="CL149" s="405"/>
    </row>
    <row r="150" ht="14.25" customHeight="1" spans="1:90" x14ac:dyDescent="0.25">
      <c r="A150" s="399"/>
      <c r="B150" s="399"/>
      <c r="C150" s="399"/>
      <c r="D150" s="399"/>
      <c r="E150" s="399"/>
      <c r="F150" s="400"/>
      <c r="G150" s="401"/>
      <c r="H150" s="402"/>
      <c r="I150" s="402"/>
      <c r="J150" s="403"/>
      <c r="K150" s="403"/>
      <c r="L150" s="403"/>
      <c r="M150" s="403"/>
      <c r="N150" s="403"/>
      <c r="O150" s="403"/>
      <c r="P150" s="403"/>
      <c r="Q150" s="403"/>
      <c r="R150" s="403"/>
      <c r="CD150" s="404"/>
      <c r="CG150" s="404"/>
      <c r="CI150" s="405"/>
      <c r="CJ150" s="405"/>
      <c r="CK150" s="405"/>
      <c r="CL150" s="405"/>
    </row>
    <row r="151" ht="14.25" customHeight="1" spans="1:90" x14ac:dyDescent="0.25">
      <c r="A151" s="399"/>
      <c r="B151" s="399"/>
      <c r="C151" s="399"/>
      <c r="D151" s="399"/>
      <c r="E151" s="399"/>
      <c r="F151" s="400"/>
      <c r="G151" s="401"/>
      <c r="H151" s="402"/>
      <c r="I151" s="402"/>
      <c r="J151" s="403"/>
      <c r="K151" s="403"/>
      <c r="L151" s="403"/>
      <c r="M151" s="403"/>
      <c r="N151" s="403"/>
      <c r="O151" s="403"/>
      <c r="P151" s="403"/>
      <c r="Q151" s="403"/>
      <c r="R151" s="403"/>
      <c r="CD151" s="404"/>
      <c r="CG151" s="404"/>
      <c r="CI151" s="405"/>
      <c r="CJ151" s="405"/>
      <c r="CK151" s="405"/>
      <c r="CL151" s="405"/>
    </row>
    <row r="152" ht="14.25" customHeight="1" spans="1:90" x14ac:dyDescent="0.25">
      <c r="A152" s="399"/>
      <c r="B152" s="399"/>
      <c r="C152" s="399"/>
      <c r="D152" s="399"/>
      <c r="E152" s="399"/>
      <c r="F152" s="400"/>
      <c r="G152" s="401"/>
      <c r="H152" s="402"/>
      <c r="I152" s="402"/>
      <c r="J152" s="403"/>
      <c r="K152" s="403"/>
      <c r="L152" s="403"/>
      <c r="M152" s="403"/>
      <c r="N152" s="403"/>
      <c r="O152" s="403"/>
      <c r="P152" s="403"/>
      <c r="Q152" s="403"/>
      <c r="R152" s="403"/>
      <c r="CD152" s="404"/>
      <c r="CG152" s="404"/>
      <c r="CI152" s="405"/>
      <c r="CJ152" s="405"/>
      <c r="CK152" s="405"/>
      <c r="CL152" s="405"/>
    </row>
    <row r="153" ht="14.25" customHeight="1" spans="1:90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</row>
    <row r="154" ht="14.25" customHeight="1" spans="1:90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</row>
    <row r="155" ht="14.25" customHeight="1" spans="1:90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</row>
    <row r="156" ht="14.25" customHeight="1" spans="1:90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</row>
    <row r="157" ht="14.25" customHeight="1" spans="1:90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</row>
    <row r="158" ht="14.25" customHeight="1" spans="1:90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</row>
    <row r="159" ht="14.25" customHeight="1" spans="1:90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</row>
    <row r="160" ht="14.25" customHeight="1" spans="1:90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</row>
    <row r="161" ht="14.25" customHeight="1" spans="1:90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</row>
    <row r="162" ht="14.25" customHeight="1" spans="1:90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</row>
    <row r="163" ht="14.25" customHeight="1" spans="1:90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</row>
    <row r="164" ht="14.25" customHeight="1" spans="1:90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</row>
    <row r="165" ht="14.25" customHeight="1" spans="1:90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</row>
    <row r="166" ht="14.25" customHeight="1" spans="1:90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</row>
    <row r="167" ht="14.25" customHeight="1" spans="1:90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</row>
    <row r="168" ht="14.25" customHeight="1" spans="1:90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</row>
    <row r="169" ht="14.25" customHeight="1" spans="1:90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</row>
    <row r="170" ht="14.25" customHeight="1" spans="1:90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</row>
    <row r="171" ht="14.25" customHeight="1" spans="1:90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</row>
    <row r="172" ht="14.25" customHeight="1" spans="1:90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</row>
    <row r="173" ht="14.25" customHeight="1" spans="1:90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</row>
    <row r="174" ht="14.25" customHeight="1" spans="1:90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</row>
    <row r="175" ht="14.25" customHeight="1" spans="1:90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</row>
    <row r="176" ht="14.25" customHeight="1" spans="1:90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</row>
    <row r="177" ht="14.25" customHeight="1" spans="1:90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</row>
    <row r="178" ht="14.25" customHeight="1" spans="1:90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</row>
    <row r="179" ht="14.25" customHeight="1" spans="1:90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</row>
    <row r="180" ht="14.25" customHeight="1" spans="1:90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</row>
    <row r="181" ht="14.25" customHeight="1" spans="1:90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</row>
    <row r="182" ht="14.25" customHeight="1" spans="1:90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</row>
    <row r="183" ht="14.25" customHeight="1" spans="1:90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</row>
    <row r="184" ht="14.25" customHeight="1" spans="1:90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</row>
    <row r="185" ht="14.25" customHeight="1" spans="1:90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</row>
    <row r="186" ht="14.25" customHeight="1" spans="1:90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</row>
    <row r="187" ht="14.25" customHeight="1" spans="1:90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</row>
    <row r="188" ht="14.25" customHeight="1" spans="1:90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</row>
    <row r="189" ht="14.25" customHeight="1" spans="1:90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</row>
    <row r="190" ht="14.25" customHeight="1" spans="1:90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</row>
    <row r="191" ht="14.25" customHeight="1" spans="1:90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</row>
    <row r="192" ht="14.25" customHeight="1" spans="1:90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</row>
    <row r="193" ht="14.25" customHeight="1" spans="1:90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</row>
    <row r="194" ht="14.25" customHeight="1" spans="1:90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</row>
    <row r="195" ht="14.25" customHeight="1" spans="1:90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</row>
    <row r="196" ht="14.25" customHeight="1" spans="1:90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</row>
    <row r="197" ht="14.25" customHeight="1" spans="1:90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</row>
    <row r="198" ht="14.25" customHeight="1" spans="1:90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</row>
    <row r="199" ht="14.25" customHeight="1" spans="1:90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</row>
    <row r="200" ht="14.25" customHeight="1" spans="1:90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</row>
    <row r="201" ht="14.25" customHeight="1" spans="1:90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</row>
    <row r="202" ht="14.25" customHeight="1" spans="1:90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</row>
    <row r="203" ht="14.25" customHeight="1" spans="1:90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</row>
    <row r="204" ht="14.25" customHeight="1" spans="1:90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</row>
    <row r="205" ht="14.25" customHeight="1" spans="1:90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</row>
    <row r="206" ht="14.25" customHeight="1" spans="1:90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</row>
    <row r="207" ht="14.25" customHeight="1" spans="1:90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</row>
    <row r="208" ht="14.25" customHeight="1" spans="1:90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</row>
    <row r="209" ht="14.25" customHeight="1" spans="1:90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</row>
    <row r="210" ht="14.25" customHeight="1" spans="1:90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</row>
    <row r="211" ht="14.25" customHeight="1" spans="1:90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</row>
    <row r="212" ht="14.25" customHeight="1" spans="1:90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</row>
    <row r="213" ht="14.25" customHeight="1" spans="1:90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</row>
    <row r="214" ht="14.25" customHeight="1" spans="1:90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</row>
    <row r="215" ht="14.25" customHeight="1" spans="1:90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</row>
    <row r="216" ht="14.25" customHeight="1" spans="1:90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</row>
    <row r="217" ht="14.25" customHeight="1" spans="1:90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</row>
    <row r="218" ht="14.25" customHeight="1" spans="1:90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</row>
    <row r="219" ht="14.25" customHeight="1" spans="1:90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</row>
    <row r="220" ht="14.25" customHeight="1" spans="1:90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</row>
    <row r="221" ht="14.25" customHeight="1" spans="1:90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</row>
    <row r="222" ht="14.25" customHeight="1" spans="1:90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</row>
    <row r="223" ht="14.25" customHeight="1" spans="1:90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</row>
    <row r="224" ht="14.25" customHeight="1" spans="1:90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</row>
    <row r="225" ht="14.25" customHeight="1" spans="1:90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</row>
    <row r="226" ht="14.25" customHeight="1" spans="1:90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</row>
    <row r="227" ht="14.25" customHeight="1" spans="1:90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</row>
    <row r="228" ht="14.25" customHeight="1" spans="1:90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</row>
    <row r="229" ht="14.25" customHeight="1" spans="1:90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</row>
    <row r="230" ht="14.25" customHeight="1" spans="1:90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</row>
    <row r="231" ht="14.25" customHeight="1" spans="1:90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</row>
    <row r="232" ht="14.25" customHeight="1" spans="1:90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</row>
    <row r="233" ht="14.25" customHeight="1" spans="1:90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</row>
    <row r="234" ht="14.25" customHeight="1" spans="1:90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</row>
    <row r="235" ht="14.25" customHeight="1" spans="1:90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</row>
    <row r="236" ht="14.25" customHeight="1" spans="1:90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</row>
    <row r="237" ht="14.25" customHeight="1" spans="1:90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</row>
    <row r="238" ht="14.25" customHeight="1" spans="1:90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</row>
    <row r="239" ht="14.25" customHeight="1" spans="1:90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</row>
    <row r="240" ht="14.25" customHeight="1" spans="1:90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</row>
    <row r="241" ht="14.25" customHeight="1" spans="1:90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</row>
    <row r="242" ht="14.25" customHeight="1" spans="1:90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</row>
    <row r="243" ht="14.25" customHeight="1" spans="1:90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</row>
    <row r="244" ht="14.25" customHeight="1" spans="1:90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</row>
    <row r="245" ht="14.25" customHeight="1" spans="1:90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</row>
    <row r="246" ht="14.25" customHeight="1" spans="1:90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</row>
    <row r="247" ht="14.25" customHeight="1" spans="1:90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</row>
    <row r="248" ht="14.25" customHeight="1" spans="1:90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</row>
    <row r="249" ht="14.25" customHeight="1" spans="1:90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</row>
    <row r="250" ht="14.25" customHeight="1" spans="1:90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</row>
    <row r="251" ht="14.25" customHeight="1" spans="1:90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</row>
    <row r="252" ht="14.25" customHeight="1" spans="1:90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</row>
    <row r="253" ht="14.25" customHeight="1" spans="1:90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</row>
    <row r="254" ht="14.25" customHeight="1" spans="1:90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</row>
    <row r="255" ht="14.25" customHeight="1" spans="1:90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</row>
    <row r="256" ht="14.25" customHeight="1" spans="1:90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</row>
    <row r="257" ht="14.25" customHeight="1" spans="1:90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</row>
    <row r="258" ht="14.25" customHeight="1" spans="1:90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</row>
    <row r="259" ht="14.25" customHeight="1" spans="1:90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</row>
    <row r="260" ht="14.25" customHeight="1" spans="1:90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</row>
    <row r="261" ht="14.25" customHeight="1" spans="1:90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</row>
    <row r="262" ht="14.25" customHeight="1" spans="1:90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</row>
    <row r="263" ht="14.25" customHeight="1" spans="1:90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</row>
    <row r="264" ht="14.25" customHeight="1" spans="1:90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</row>
    <row r="265" ht="14.25" customHeight="1" spans="1:90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</row>
    <row r="266" ht="14.25" customHeight="1" spans="1:90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</row>
    <row r="267" ht="14.25" customHeight="1" spans="1:90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</row>
    <row r="268" ht="14.25" customHeight="1" spans="1:90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</row>
    <row r="269" ht="14.25" customHeight="1" spans="1:90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</row>
    <row r="270" ht="14.25" customHeight="1" spans="1:90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</row>
    <row r="271" ht="14.25" customHeight="1" spans="1:90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</row>
    <row r="272" ht="14.25" customHeight="1" spans="1:90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</row>
    <row r="273" ht="14.25" customHeight="1" spans="1:90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</row>
    <row r="274" ht="14.25" customHeight="1" spans="1:90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</row>
    <row r="275" ht="14.25" customHeight="1" spans="1:90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</row>
    <row r="276" ht="14.25" customHeight="1" spans="1:90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</row>
    <row r="277" ht="14.25" customHeight="1" spans="1:90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</row>
    <row r="278" ht="14.25" customHeight="1" spans="1:90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</row>
    <row r="279" ht="14.25" customHeight="1" spans="1:90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</row>
    <row r="280" ht="14.25" customHeight="1" spans="1:90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</row>
    <row r="281" ht="14.25" customHeight="1" spans="1:90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</row>
    <row r="282" ht="14.25" customHeight="1" spans="1:90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</row>
    <row r="283" ht="14.25" customHeight="1" spans="1:90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</row>
    <row r="284" ht="14.25" customHeight="1" spans="1:90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</row>
    <row r="285" ht="14.25" customHeight="1" spans="1:90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</row>
    <row r="286" ht="14.25" customHeight="1" spans="1:90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</row>
    <row r="287" ht="14.25" customHeight="1" spans="1:90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</row>
    <row r="288" ht="14.25" customHeight="1" spans="1:90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</row>
    <row r="289" ht="14.25" customHeight="1" spans="1:90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</row>
    <row r="290" ht="14.25" customHeight="1" spans="1:90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</row>
    <row r="291" ht="14.25" customHeight="1" spans="1:90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</row>
    <row r="292" ht="14.25" customHeight="1" spans="1:90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</row>
    <row r="293" ht="14.25" customHeight="1" spans="1:90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</row>
    <row r="294" ht="14.25" customHeight="1" spans="1:90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</row>
    <row r="295" ht="14.25" customHeight="1" spans="1:90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</row>
    <row r="296" ht="14.25" customHeight="1" spans="1:90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2026-10-13T12:12:51Z</dcterms:modified>
</cp:coreProperties>
</file>